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victoria_silva1_dsv_com/Documents/Downloads/"/>
    </mc:Choice>
  </mc:AlternateContent>
  <xr:revisionPtr revIDLastSave="3" documentId="11_829785E7183A7C031B7717D85430748BE210FDD8" xr6:coauthVersionLast="47" xr6:coauthVersionMax="47" xr10:uidLastSave="{1B413CAE-EDAB-46CF-A5E4-9D60F0A30EF9}"/>
  <bookViews>
    <workbookView xWindow="-120" yWindow="-120" windowWidth="29040" windowHeight="15840" xr2:uid="{00000000-000D-0000-FFFF-FFFF00000000}"/>
  </bookViews>
  <sheets>
    <sheet name="Pipeline Brasil - BG - WON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</calcChain>
</file>

<file path=xl/sharedStrings.xml><?xml version="1.0" encoding="utf-8"?>
<sst xmlns="http://schemas.openxmlformats.org/spreadsheetml/2006/main" count="8398" uniqueCount="1927">
  <si>
    <t>(Do Not Modify) Market</t>
  </si>
  <si>
    <t>(Do Not Modify) Row Checksum</t>
  </si>
  <si>
    <t>(Do Not Modify) Modified On</t>
  </si>
  <si>
    <t>Status</t>
  </si>
  <si>
    <t>Account</t>
  </si>
  <si>
    <t>Created By</t>
  </si>
  <si>
    <t>Expected close date</t>
  </si>
  <si>
    <t>Opportunity</t>
  </si>
  <si>
    <t>Division (freight)</t>
  </si>
  <si>
    <t>Market From</t>
  </si>
  <si>
    <t>Market To</t>
  </si>
  <si>
    <t>Owner</t>
  </si>
  <si>
    <t>Payment type</t>
  </si>
  <si>
    <t>Actual Close Date (Opportunity) (Opportunity)</t>
  </si>
  <si>
    <t>Status Reason</t>
  </si>
  <si>
    <t>Potential Revenue</t>
  </si>
  <si>
    <t>Potential Shipments</t>
  </si>
  <si>
    <t>Claim Type</t>
  </si>
  <si>
    <t>Potential Air Volume (Kgs)</t>
  </si>
  <si>
    <t>Currency</t>
  </si>
  <si>
    <t>Potential Revenue (Base)</t>
  </si>
  <si>
    <t>Potential Sea FCL Volume (Teus)</t>
  </si>
  <si>
    <t>Potential Sea LCL Volume (cbm)</t>
  </si>
  <si>
    <t>Traffic status</t>
  </si>
  <si>
    <t>Branch (Created By) (User)</t>
  </si>
  <si>
    <t>Close Date (Exp) (Opportunity) (Opportunity)</t>
  </si>
  <si>
    <t>Funnel Stage Name (Opportunity) (Opportunity)</t>
  </si>
  <si>
    <t>Pipeline Phase (Opportunity) (Opportunity)</t>
  </si>
  <si>
    <t>3f256957-4c00-f111-8406-6045bd890446</t>
  </si>
  <si>
    <t>j45d0gDZv4hQSCpPuLrzful4dxii1jtJtRAK2nfdUwwLSlot+W/gQoz459GpMfOG6VUM0CrIIFKIC9tM0Vu3BQ==</t>
  </si>
  <si>
    <t>Won</t>
  </si>
  <si>
    <t xml:space="preserve">COMITE OLIMPICO BRASILEIRO - Main - BR6410381823 </t>
  </si>
  <si>
    <t>Sabrina Mega</t>
  </si>
  <si>
    <t>COMITE OLIMPICO BRASILEIRO - BR - AirSea - RFQ FEA: BR X PA</t>
  </si>
  <si>
    <t>Air</t>
  </si>
  <si>
    <t>BR</t>
  </si>
  <si>
    <t>AR</t>
  </si>
  <si>
    <t>Prepaid</t>
  </si>
  <si>
    <t>New Business</t>
  </si>
  <si>
    <t>Brazilian Real</t>
  </si>
  <si>
    <t>Rio de Janeiro</t>
  </si>
  <si>
    <t>05 - Awarded</t>
  </si>
  <si>
    <t>17-Contract Awarded</t>
  </si>
  <si>
    <t>a3538170-4c00-f111-8406-6045bd890446</t>
  </si>
  <si>
    <t>4YzgVZmPUSD3fW0F2ZubN5RCRJsjLJmNxAamu2DSqROqmbWAiOGcIsF6A2sSpYpUQwIRoVqJyjkICFYIch5cBQ==</t>
  </si>
  <si>
    <t>Collect</t>
  </si>
  <si>
    <t>3dd14a62-154b-f111-bec6-6045bd94c73f</t>
  </si>
  <si>
    <t>e72eN79REfMnk7X5+ddoa/iw3przgpTAJ7yR/9IOhwTIQBmIu2RTtwzCOc9zs0Sw/FEa5ZaXC2enQWhXFB2lsA==</t>
  </si>
  <si>
    <t xml:space="preserve">NEXOFOUR IMPORTACAO &amp; EXPORTACAO LTDA - Main - BR6412694807 </t>
  </si>
  <si>
    <t>Francine Hassmann</t>
  </si>
  <si>
    <t>NEXOFOUR IMPORTACAO &amp; EXPORTACAO LTDA - BR - AirSea - . spot dta</t>
  </si>
  <si>
    <t>Itajaí</t>
  </si>
  <si>
    <t>a7ab2de3-f543-f111-88b4-000d3a254f00</t>
  </si>
  <si>
    <t>C87+/CguNOQfU2Kdp6w8Q1cLPVXuER+2355DYf0mvI8Lohqlbae94vQOFdr/Q3BGEl5tGq6SyqtKT7v1Kt7nTg==</t>
  </si>
  <si>
    <t xml:space="preserve">UNIAO QUIMICA FARMACEUTICA NACIONAL S A M/A - Master - BR6413064834 </t>
  </si>
  <si>
    <t>Meire Florio</t>
  </si>
  <si>
    <t>UNIAO QUIMICA FARMACEUTICA NACIONAL S A M/A - BR - AirSea - UNIAO QUIMICA - AIR IMP - MX X BR</t>
  </si>
  <si>
    <t>MX</t>
  </si>
  <si>
    <t>São Paulo</t>
  </si>
  <si>
    <t>16bd561d-a532-f111-88b4-000d3a254607</t>
  </si>
  <si>
    <t>0rOu1oEhPGN6N6pkX56A7Rwd0xjAUmiiojdlColOJKec6LsFgHl2UgKTa7a0ZZvpMlJItQeOHVeRg3UGNRpcvA==</t>
  </si>
  <si>
    <t xml:space="preserve">NIDEC GLOBAL APPLIANCE M/A BRASIL LTDA - Master - BR6411033314 </t>
  </si>
  <si>
    <t>NIDEC GLOBAL APPLIANCE M/A BRASIL LTDA - BR - AirSea - . spot 665392 cn</t>
  </si>
  <si>
    <t>Sea</t>
  </si>
  <si>
    <t>CN</t>
  </si>
  <si>
    <t>Existing business</t>
  </si>
  <si>
    <t>b0ee1211-37eb-f011-8544-6045bd903ad1</t>
  </si>
  <si>
    <t>mtKf6wiSvPue4P+wZGDHkF6HAVQCh07Ejun6WNZpENA4jk+1wDdBjwhFrLvqLwsBAI8Dugv0Du8/yY8mUrhtGg==</t>
  </si>
  <si>
    <t xml:space="preserve">ZF AUTOMOTIVE BRASIL  M/A - Master - BR6410321497 </t>
  </si>
  <si>
    <t>Daniel Rossi</t>
  </si>
  <si>
    <t>ZF LCL Ocean Freight Tender 2026</t>
  </si>
  <si>
    <t>SG</t>
  </si>
  <si>
    <t>Campinas</t>
  </si>
  <si>
    <t>aa7861b5-5b63-f111-a826-6045bd94c67e</t>
  </si>
  <si>
    <t>jQhAAEquEqWT8tLAGILLsCY1kCh82JSH2lly73JG1QxnApTbl5mlW5Ew5ahDLWwbK1hE/EzrEwywLlEWPLe+Vg==</t>
  </si>
  <si>
    <t xml:space="preserve">FURUKAWA SISTEMAS AUTOMOTIVOS DO BRASIL LTDA - Main - BR6410829755 </t>
  </si>
  <si>
    <t>Diego Santos</t>
  </si>
  <si>
    <t>FURUKAWA SISTEMAS AUTOMOTIVOS DO BRASIL LTDA - BR - Air&amp;Sea - SEA IMPO LCL</t>
  </si>
  <si>
    <t>HK</t>
  </si>
  <si>
    <t>02 - Need Analysis</t>
  </si>
  <si>
    <t>14-Needs analysis</t>
  </si>
  <si>
    <t>193739c6-0444-f111-88b4-6045bd94c664</t>
  </si>
  <si>
    <t>KswPtOvpmrV03N51A61vsSyprvvMpIS7n4I28U+J1EfCN1R77vwbiiG6ShgRUhrgaoD/pdMBz9C+mCZt/mrbjQ==</t>
  </si>
  <si>
    <t xml:space="preserve">PACCO Lineup Importação e Distribuição LTDA - Acc-02737250. </t>
  </si>
  <si>
    <t>Renan Alves</t>
  </si>
  <si>
    <t>PACCO Lineup Importação e Distribuição LTDA - BR - AirSea - SEA IMPORT - CN X BR</t>
  </si>
  <si>
    <t>6ca8a6c0-73f8-f011-8406-6045bd94c664</t>
  </si>
  <si>
    <t>dWRnkdDOnR0DkJhBzqZO4zT4bvW3ScMgFwF9aklsSuvV7Azk8EN/EZmkLEoWc2NjV2EOY9G0qzk+oudkGDcZ5g==</t>
  </si>
  <si>
    <t xml:space="preserve">NORFIL S/A INDUSTRIA TEXTIL - Main - BR6409013727 </t>
  </si>
  <si>
    <t>Luma Melo</t>
  </si>
  <si>
    <t>[FA] NORFIL S/A INDUSTRIA TEXTIL - BR - AirSea - IMP AIR - DENMARK X BR -</t>
  </si>
  <si>
    <t>DK</t>
  </si>
  <si>
    <t>Recife</t>
  </si>
  <si>
    <t>c12346ae-5a24-f111-8341-7c1e525f2aa9</t>
  </si>
  <si>
    <t>yqPxEGVAu8nGu+W/poIcycOmI5Nb7dnk2m5qiTHd3QyDeq71fsUBZSVLSFRKWGxbEgQ0l18K05S90Ox/Qia6hA==</t>
  </si>
  <si>
    <t xml:space="preserve">CATERPILLAR BRASIL LTDA - Main - BR6406585378 </t>
  </si>
  <si>
    <t>CATERPILLAR BRASIL LTDA - BR - Road - CATERPILLAR - Offer for Rate Request RR-1144291 - Mabank  US x Macaé RJ</t>
  </si>
  <si>
    <t>Road (A&amp;S)</t>
  </si>
  <si>
    <t>5240bec8-cf29-f111-8341-7ced8d0c1a24</t>
  </si>
  <si>
    <t>xq6P/QKIywSKeQYbYgjxu8FaTthABNU9wtdLufsrH6eWFSzrFtDHrzSoUkIKannfwEEWAxXH671ZS8tfwNkWsw==</t>
  </si>
  <si>
    <t xml:space="preserve">BORGWARNER BRASIL LTDA M/A - Master - BR6410367525 </t>
  </si>
  <si>
    <t>OLD Daniela Lourenco</t>
  </si>
  <si>
    <t>BORGWARNER BRASIL LTDA M/A - BR - AirSea - BORGWARNER| LCL  (FES) |EXW | BRSSZ x INNSA | QUOTE# QCPQ00074381 |</t>
  </si>
  <si>
    <t>IN</t>
  </si>
  <si>
    <t>e6b67191-3743-f111-88b3-002248814b01</t>
  </si>
  <si>
    <t>r70LdlX3aNJ5HLSWIo8GKUhjyaBhl7ncqQ2CVjcBDz05Mv21VjC2e293RnQGB78mKgOgGw2IH+8joLTVoYpcgQ==</t>
  </si>
  <si>
    <t xml:space="preserve">ELKEM SILICONES BRASIL LTDA - Main - BR6408673400 </t>
  </si>
  <si>
    <t>ELKEM SILICONES BRASIL LTDA - BR - AirSea - . spot 5345651 fr</t>
  </si>
  <si>
    <t>FR</t>
  </si>
  <si>
    <t>4e7a76d1-8c5e-f111-a825-0022487edd57</t>
  </si>
  <si>
    <t>4gBxLVBgM2bIlEqxN4pLdNTqg8IhrS6m//xtnjqvii2E2HEj3juydD3W2ACqLpapULIY20P44prO3fa3ICRg0g==</t>
  </si>
  <si>
    <t xml:space="preserve">LEITZ FERRAMENTAS PARA MADEIRA LTDA - Main - BR6408688193 </t>
  </si>
  <si>
    <t>Karen Tonon</t>
  </si>
  <si>
    <t>LEITZ FERRAMENTAS PARA MADEIRA LTDA - BR - Air&amp;Sea - Ocean Export (FES) LCL - BR x CL</t>
  </si>
  <si>
    <t>CL</t>
  </si>
  <si>
    <t>Porto Alegre</t>
  </si>
  <si>
    <t>76c2daee-3842-f111-88b3-00224887b188</t>
  </si>
  <si>
    <t>F6frYJbcVC9d5n/LnXPsUthEtukc2xik0AU0lH2L5bcP5fkQytbCrkx/NpYGj6ra4c6SsegBDMZ/A5NVKxP8TQ==</t>
  </si>
  <si>
    <t xml:space="preserve">CUMMINS VENDAS E SERVICOS DE M/A Motores e Geradores Ltda - Master - BR6410661782 </t>
  </si>
  <si>
    <t>Gabriel Honorato</t>
  </si>
  <si>
    <t>*HOT* CUMMINS VENDAS E SERVICOS DE M/A Motores e Geradores Ltda - BR - AirSea - Air Shipments - BR x MX</t>
  </si>
  <si>
    <t>bacd4349-4537-f111-88b4-000d3a254544</t>
  </si>
  <si>
    <t>uy7KRVRKpcWQ0k1T81ylhW2dDLB9vN3j4rOVOxGnkYVXn7l3VPB2LmNQ/gRK7r6IgNsDz2RrCu0LuHx577KDPQ==</t>
  </si>
  <si>
    <t>NIDEC GLOBAL APPLIANCE M/A BRASIL LTDA - BR - AirSea - ** HOT ** Nidec GOB</t>
  </si>
  <si>
    <t>53096b2f-5307-f111-8406-0022488bbae5</t>
  </si>
  <si>
    <t>uSPcepkCccDbLo2CEJ222s4ucm1RJrNjeTkI8LRPkKcd3mxMA/4mF5l1CRjXpxJZeNU/f+LV3juEG7UGN2mHCg==</t>
  </si>
  <si>
    <t xml:space="preserve">UNITEXTIL UNIAO INDUSTRIAL TEXTIL S A - Main - BR6411229206 </t>
  </si>
  <si>
    <t>[FA] UNITEXTIL UNIAO INDUSTRIAL TEXTIL S A - BR - AirSea - IMP AIR - EIN X FOR</t>
  </si>
  <si>
    <t>9992e095-9403-f111-8406-6045bd94c50c</t>
  </si>
  <si>
    <t>cGCs6324Xe986XkVmP1Cg6U3nanDuNAubMNr3+2lxoAE5HWWcyQm2JDAbc2ZgwitHAvTQLmkQ3BVdZ1KnaPvRw==</t>
  </si>
  <si>
    <t xml:space="preserve">MONTE ALEGRE FIOS LTDA - Main - BR6409352909 </t>
  </si>
  <si>
    <t>[FA] MONTE ALEGRE FIOS LTDA - BR - AirSea - IMP AIR - DENMARK X BR -</t>
  </si>
  <si>
    <t>514b8e50-074b-f111-bec6-6045bd94c664</t>
  </si>
  <si>
    <t>Y5F2VM4XMp6VwHPbQ1ozAu0vRiFcI/K/ERDwdPRBR76WBakrtx+jrFElVi3PECIxSmHsWw1J46nyZyDRPlsJtQ==</t>
  </si>
  <si>
    <t xml:space="preserve">Weg Equipamentos Eletricos S/A M/A - Master - BR6410504505 </t>
  </si>
  <si>
    <t>Weg Equipamentos Eletricos S/A M/A - BR - AirSea - . spot 162021 za</t>
  </si>
  <si>
    <t>ZA</t>
  </si>
  <si>
    <t>aab0dd6b-4f08-f111-8406-7ced8d0bee73</t>
  </si>
  <si>
    <t>dqJy7E1egoSZHlrk8GBnw3TakHcCUfHOE40Rzomem3GbAplP0nPCtJlw8s1xJtwNq7dH/TG+vX/CNL2sRPqDWA==</t>
  </si>
  <si>
    <t xml:space="preserve">COMPANHIA TEXTIL PE DE SERRA - Main - BR6410646411 </t>
  </si>
  <si>
    <t>[FA] COMPANHIA TEXTIL PE DE SERRA - BR - AirSea - [FA] IMP AIR - DENMARK X BR -</t>
  </si>
  <si>
    <t>e379baee-b12e-f111-88b3-6045bd94c50c</t>
  </si>
  <si>
    <t>aXFoWNJkBu1zSM35RSAU//ZyTzIVixBCZTxK7lpMDAgi404+ENUxSDCEVPrXNBSDdy9Gcg+pxsITIdkBZp9SPw==</t>
  </si>
  <si>
    <t>[FA] COMPANHIA TEXTIL PE DE SERRA - BR - AirSea - IMP AIR -EIN X REC - 99,50Kg</t>
  </si>
  <si>
    <t>NL</t>
  </si>
  <si>
    <t>0b5cae34-16fe-f011-8406-000d3a254953</t>
  </si>
  <si>
    <t>lL0DsqfHrzec5OdyMLuxxZCPgXq+CMBgvTQ5gXi1YXrdOwr0nNRPD7DveGV2XGseSYeEIBSlfi0/F0JyEfF3xg==</t>
  </si>
  <si>
    <t xml:space="preserve">SANTANA TEXTIL SA - Main - BR6409268781 </t>
  </si>
  <si>
    <t>[FA] SANTANA TEXTIL SA - BR - AirSea - IMP AIR - EIN X FOR -</t>
  </si>
  <si>
    <t>fd4a7297-78fb-f011-8406-6045bd94c840</t>
  </si>
  <si>
    <t>yIluJY2ei1LcfEV+VWkzv+a4ry/4LLQRtvs4y/e1i/K5PB7bmFv1G8+l97C/dNevU08Vxr/vJXW5VZActrXATw==</t>
  </si>
  <si>
    <t xml:space="preserve">VICUNHA TEXTIL S/A. - Main - BR6406593341 </t>
  </si>
  <si>
    <t>[FA] VICUNHA TEXTIL S/A. - BR - AirSea - IMP AIR - EIN X FOR -</t>
  </si>
  <si>
    <t>8cea5d92-02f3-f011-8406-6045bd94cb22</t>
  </si>
  <si>
    <t>m2q6ZHBM/g2edooZjASqBRJpg3t/vbb1Ixv3RAECDI8oDl3qI8yKZtlLrcigFmdm7N+lZHUiHLHaF1mxppdmlg==</t>
  </si>
  <si>
    <t xml:space="preserve">FIACAO SAO BENTO SA - Main - BR6409900628 </t>
  </si>
  <si>
    <t>[FA] FIACAO SAO BENTO SA - BR - AirSea - IMP AIR - DK X BR - 2kg</t>
  </si>
  <si>
    <t>c7841e0d-04f3-f011-8406-6045bd94cb22</t>
  </si>
  <si>
    <t>+HyWJTsZOiyci+wFi3TGMRuonOtqBEW3huuV6Lz4W6vb+QEadqanNYUf1T1WdG4PH1rDxJwSUuMDF2Mxl5xzQw==</t>
  </si>
  <si>
    <t xml:space="preserve">NIT FIACAO E COMERCIO LTDA - Main - BR6411389754 </t>
  </si>
  <si>
    <t>[FA] NIT FIACAO E COMERCIO LTDA - BR - AirSea - IMP AIR - 99,5KG- EIN X VCP</t>
  </si>
  <si>
    <t>22b776f1-0bf3-f011-8406-6045bd94cb22</t>
  </si>
  <si>
    <t>HRREqrvaQRKn7pcxt5LZYFDJ3J/A8cr5d5awAodK/HCSjbOTXQPb5RmkEftGDQMAvadJR5nax3c/ij6qOnBMmw==</t>
  </si>
  <si>
    <t xml:space="preserve">KURASHIKI DO BRASIL TEXTIL LTDA. M/A - Master - BR6411798312 </t>
  </si>
  <si>
    <t>[FA] KURASHIKI DO BRASIL TEXTIL LTDA. M/A - BR - AirSea - IMP AIR- 16Kg - EIN X CWB</t>
  </si>
  <si>
    <t>0b796a66-16eb-f011-8544-7c1e5211d718</t>
  </si>
  <si>
    <t>Pt/BIRAVV0OaDIsCXLrspvRydgXAIzPIaJ8W8Moi1qi4fVgZ1Ls5bAIBVBzn3hndH7FFFdQMsYTjEZl04UQmBw==</t>
  </si>
  <si>
    <t>COMPANHIA TEXTIL PE DE SERRA - BR - AirSea - IMP AIR - SWITZERLAND X BR - 64Kg</t>
  </si>
  <si>
    <t>CH</t>
  </si>
  <si>
    <t>9a6c9533-650b-f111-8406-7ced8d11977d</t>
  </si>
  <si>
    <t>FMJxqGnAwtUXHWJtdfmAZ+FNbciB5ZgA32QVgZxOxiC4KYWtVOxS9X8XyoOT2PB3RqlvR7QI5MaGtBIktVfFNQ==</t>
  </si>
  <si>
    <t xml:space="preserve">PEIXOTO GONCALVES SA INDUSTRIA E COMERCIO - Main - BR6409024438 </t>
  </si>
  <si>
    <t>[FA] PEIXOTO GONCALVES SA INDUSTRIA E COMERCIO - BR - AirSea - IMP AIR - EIN X REC - 2Kg</t>
  </si>
  <si>
    <t>fd0b2fb0-8dfb-f011-8406-7ced8d95edde</t>
  </si>
  <si>
    <t>2NMD/TCZZXqe37+T/bWe614S36vO/sXUomUELOA0KNqyIER/9PR1kWcay8IWTZtro7qLBZJm/jIa68B+fzmoYw==</t>
  </si>
  <si>
    <t xml:space="preserve">COMPANHIA INDUSTRIAL TEXTIL - Main - BR6407930785 </t>
  </si>
  <si>
    <t>[FA] COMPANHIA INDUSTRIAL TEXTIL - BR - AirSea - IMP AIR - EIN X SSA -</t>
  </si>
  <si>
    <t>af00299c-db22-f111-8341-6045bd94cd49</t>
  </si>
  <si>
    <t>q2cq3d4dfJ176js6MsuS4RGbJWF3PaonOOEEQuSlJdAxGbH9DfxsO0nIZKseWFw1dwSZ0vHZl4CTiCRNRtvY9A==</t>
  </si>
  <si>
    <t xml:space="preserve">BRASTEX SA M/A - Master - BR6411408080 </t>
  </si>
  <si>
    <t>[FA] BRASTEX SA M/A - BR - AirSea - IMP AIR - EIN X REC -</t>
  </si>
  <si>
    <t>CZ</t>
  </si>
  <si>
    <t>895bedc0-00f3-f011-8406-6045bd94cb22</t>
  </si>
  <si>
    <t>ZC7PcWvjbHJ7UEInmYhDWumgb2lxMiqane0uDwBWW8sN2JFnyDYrh78UpX1vVdQwY+RRmM8PrB/HeMhCyv8RSg==</t>
  </si>
  <si>
    <t xml:space="preserve">BRASIL MUNDI IMPORTACAO E EXPORTACAO LTDA - Main - BR6404350943 </t>
  </si>
  <si>
    <t>[FA] BRASIL MUNDI IMPORTACAO E EXPORTACAO LTDA - BR - AirSea - IMP AIR - DK X BR -</t>
  </si>
  <si>
    <t>61c3eaf5-dd22-f111-8341-6045bd94cd49</t>
  </si>
  <si>
    <t>Rns7xRXczDtmw7mVsBaIKCfbkWdY07D/UL9iCjx7lB6/SMCiiisoR9TAD+q9Q1JzrnotIZncoCjWB0mphjqIVA==</t>
  </si>
  <si>
    <t>[FA] COMPANHIA INDUSTRIAL TEXTIL - BR - AirSea - IMP AIR - EIN X SSA -1,5Kg</t>
  </si>
  <si>
    <t>a8dfac30-76ea-f011-8544-7c1e5211d718</t>
  </si>
  <si>
    <t>4XB/7tUBaGzy6PxuDK4opyX0Yo332ZszpEXbmtoYycIi9SaHAjiXOPl4zRyHMXb6pJDHyLwaHJSfRSm3nIusFw==</t>
  </si>
  <si>
    <t xml:space="preserve">TBM S/A Industria Textil M/A - Master - BR6413469009 </t>
  </si>
  <si>
    <t>TBM SA INDUSTRIA TEXTIL - BR - AirSea - IMP AIR - DK X BR - 124KG</t>
  </si>
  <si>
    <t>a5d26643-17eb-f011-8544-7c1e5211d718</t>
  </si>
  <si>
    <t>WjofW4LaQb4ATKkIPItpTnyQ119pbh7zGWEvEw81C17Y6IBBy1zi6CTWQxR7LTTSNMEhAklEY+0H5lxbTxCw6Q==</t>
  </si>
  <si>
    <t xml:space="preserve">CMD IMPORTACOES LTDA - Main - BR6411413410 </t>
  </si>
  <si>
    <t>[FA] CMD IMPORTACOES LTDA - BR - AirSea - IMP AIR - SWITZERLAND X BR - 48Kg</t>
  </si>
  <si>
    <t>bb5baeb5-d422-f111-8341-6045bd94c4ce</t>
  </si>
  <si>
    <t>7USUXQw7V5C8GfBHd6VBgP0c9SRIVbpscOPwDVkHcXFBNYztL1fLo0pTFrFEMeu6XhCYaymNTsv8ebDlX25MFA==</t>
  </si>
  <si>
    <t xml:space="preserve">BAKER HUGHES DO BRASIL LTDA - Main - BR6407877757 </t>
  </si>
  <si>
    <t>Roberta Silva</t>
  </si>
  <si>
    <t>BAKER HUGHES DO BRASIL LTDA - BR - AirSea - AFR - Baker - BR x IT</t>
  </si>
  <si>
    <t>IT</t>
  </si>
  <si>
    <t>1204757a-4a08-f111-8406-000d3a2544a1</t>
  </si>
  <si>
    <t>r0+ggYV1Uv60IG3FHyRePVRi0koOWXscsjgQ9Zazl878PLTfCJpADnhRucl1Q5+t4K6u414QWXRbsAAjLtvWZQ==</t>
  </si>
  <si>
    <t xml:space="preserve">Adidas do Brasil Ltda M/A - Master - BR6410649477 </t>
  </si>
  <si>
    <t>Jessica Quini</t>
  </si>
  <si>
    <t>Adidas do Brasil Ltda M/A - BR - AirSea - Round 2 launch for Adidas AG Global Air RFQ April 2026 to March 2027. Internal deadline: 2026-01-07 12:00 Cloned</t>
  </si>
  <si>
    <t>4-Partially Awarded</t>
  </si>
  <si>
    <t>50a2d1ac-4a08-f111-8406-000d3a2544a1</t>
  </si>
  <si>
    <t>ilCONpPebv7RuQIpp8IYb7nxYAjzrFrNn3u167wgI0lDYh5KtJQNKqb9nNsKQaXbQIsbNilE/RVbCS0e1enXTQ==</t>
  </si>
  <si>
    <t>PE</t>
  </si>
  <si>
    <t>160f558e-a432-f111-88b4-000d3a254607</t>
  </si>
  <si>
    <t>ZWsHwS4QURcuWw6STbUeiF9N7GV7uU6n+XUxpgHVREii8czVMGRZFSmUgGIwyYIJ83RJzUyU8dmgKTXGBSvOPA==</t>
  </si>
  <si>
    <t>NIDEC GLOBAL APPLIANCE M/A BRASIL LTDA - BR - AirSea - . spot 665388 kr</t>
  </si>
  <si>
    <t>KR</t>
  </si>
  <si>
    <t>1ba2ff57-b44f-f111-bec7-000d3a254c63</t>
  </si>
  <si>
    <t>1lB/5jQXJE2bF+iUHnS8Ca49OsDggEQdFtDamOL5KkbL08cFxNDWXynAR5AXXvI3+cwcKZOR9MT7zI3pQFMuYw==</t>
  </si>
  <si>
    <t xml:space="preserve">WEIR DO BRASIL LTDA - Main - BR6406925245 </t>
  </si>
  <si>
    <t>WEIR DO BRASIL LTDA - BR - AirSea - IMP AIR Belfast_VCP FECHAMENTO** [External] Re:  // PO 4501620907 - QCPQ00076631</t>
  </si>
  <si>
    <t>IE</t>
  </si>
  <si>
    <t>ece5891c-62ea-f011-8544-000d3a2970da</t>
  </si>
  <si>
    <t>eVZOoykZRHJYe5GIhFwkjmMVLx4BTfnoDCz9/oKS/i1BjaQUjQZwrj+sdnLF5mJ9RTp27wChgnHe994CcTDzXw==</t>
  </si>
  <si>
    <t xml:space="preserve">THALES DIS BRASIL CARTOES E SOLUCOES DE TECNOLOGIA LTDA - Main - BR6406543134 </t>
  </si>
  <si>
    <t>Natalia Gomes</t>
  </si>
  <si>
    <t>THALES - exp air BR x Malasya</t>
  </si>
  <si>
    <t>MY</t>
  </si>
  <si>
    <t>Curitiba</t>
  </si>
  <si>
    <t>cbe5cbbf-885b-f111-a825-3833c5c28bd4</t>
  </si>
  <si>
    <t>1ZgkWJx7XTnOgo00bXCdze497wUDKgAchyYdDVaiwa/w/mE4oKaCLgLpG5aaF+Pv9lG7JOCS7PrtsNMXkERqGw==</t>
  </si>
  <si>
    <t xml:space="preserve">NOURYON PULP AND PERFORMANCE M/A INDUSTRIA QUIMICA LTDA M/A - Master - BR6410222698 </t>
  </si>
  <si>
    <t>NOURYON PULP AND PERFORMANCE M/A INDUSTRIA QUIMICA LTDA M/A - BR - Air&amp;Sea - FECHAMENTO | NOURYON | MODAL (FIA) | FRA  x GRU | QUOTE#  QCPQ00077428</t>
  </si>
  <si>
    <t>DE</t>
  </si>
  <si>
    <t>b0aa308f-ed60-f111-a826-6045bd94c31f</t>
  </si>
  <si>
    <t>LgqdprRUSwBgfkzL4I/qvXhmNcj7RirCvL7aP8qNmLd08RzaUi6+sgc1tiWywQ8TTf6/cv7Uj/dOZlXEHs4wuw==</t>
  </si>
  <si>
    <t xml:space="preserve">LINAK DO BRASIL COMERCIO DE ATUADORES LTDA - Main - BR6413833322 </t>
  </si>
  <si>
    <t>LINAK DO BRASIL COMERCIO DE ATUADORES LTDA - BR - Air&amp;Sea - SEA IMP - LCL - NL X BR</t>
  </si>
  <si>
    <t>03 - Quoting</t>
  </si>
  <si>
    <t>15-Propose quote</t>
  </si>
  <si>
    <t>61fef620-b85d-f111-a826-6045bd94c99e</t>
  </si>
  <si>
    <t>qRDn966LQuhKl9Sb6adga+lvcn5TZ4a6qqpW8bKQLVr8IUgvZJLyLc9lwIaKAtJPI6bNcGqM5e6w94yp0RROvw==</t>
  </si>
  <si>
    <t xml:space="preserve">BRUNING TECNOMETAL LTDA - Main - BR6406830861 </t>
  </si>
  <si>
    <t>Daiane Regina Schubert</t>
  </si>
  <si>
    <t>BRUNING TECNOMETAL LTDA - BR - Air&amp;Sea - Expo - Air - Chicago</t>
  </si>
  <si>
    <t>US</t>
  </si>
  <si>
    <t>6cd78dd7-c118-f111-8341-6045bd94cab2</t>
  </si>
  <si>
    <t>8sRZl/t6laqehsZXSMhfVNTWCzuU/IAkLGWFupLCk/lGc4zy4BL7GHGCmj7lJsMqQpmp6l9niOCtz7aJeFUQsg==</t>
  </si>
  <si>
    <t xml:space="preserve">SURFACE SOLUTIONS BRASIL LTDA M/A - Master - BR6412956783 </t>
  </si>
  <si>
    <t>Ana Froes</t>
  </si>
  <si>
    <t>SURFACE SOLUTIONS BRASIL LTDA M/A - BR - AirSea - ARGENTINA</t>
  </si>
  <si>
    <t>0713c640-554d-f111-bec7-6045bd94c9df</t>
  </si>
  <si>
    <t>vakTi/ISR/qFHSt4C0rnoGbuY20fxeuGRci3YL8Fer1xx1IOyKG9De5P6Ng+V+WY8JFjr3u5HDa6oMOsbS8nyw==</t>
  </si>
  <si>
    <t xml:space="preserve">OXITENO S A INDUSTRIA E COM M/A - Master - BR6409593936 </t>
  </si>
  <si>
    <t>OXITENO S A INDUSTRIA E COM M/A - BR - AirSea - SEA EXP - FCL - BRAZIL X GERMANY</t>
  </si>
  <si>
    <t>95c07904-8519-f111-8341-000d3a254999</t>
  </si>
  <si>
    <t>bWzvj8MnQG+rGt/jQkc46NrgdmTkmjGfdUj4XEC2epdiZhcKFN0HNDqPz0ER2kVbWz84Xlrxemwc5OsK4q/HgA==</t>
  </si>
  <si>
    <t xml:space="preserve">C PACK CREATIVE PACKAGING S/A - Main - BR6404488947 </t>
  </si>
  <si>
    <t>C PACK CREATIVE PACKAGING S/A - BR - AirSea - spot 177170 de</t>
  </si>
  <si>
    <t>9919ec8c-635b-f111-a825-3833c5c28bd4</t>
  </si>
  <si>
    <t>SPKpsCGaddCMXetmzHgCrqRuTJVkfQmzgRxrw8R/gJxcy3cOZ1uyUCl30NazQp+p8BDVn4p4X5MzjpzguSWSBA==</t>
  </si>
  <si>
    <t xml:space="preserve">DENTSCARE LTDA M/A - Master - BR6411357229 </t>
  </si>
  <si>
    <t>DENTSCARE LTDA M/A - BR - Air&amp;Sea - . spot 216344, 219858 e 216227 pt</t>
  </si>
  <si>
    <t>PT</t>
  </si>
  <si>
    <t>beeee6c9-35eb-f011-8544-7c1e5211d718</t>
  </si>
  <si>
    <t>OBzIwvv3k38mzJypgqrI6J+mygOxNvjttB3d3etwlmWPtSoBx3wrPQFgyEdqcUSV/hLVFC8tWyMpSMMIhGgcKQ==</t>
  </si>
  <si>
    <t xml:space="preserve">HUAWEI DO BRASIL M/A TELECOMUNICACOES LTDA - Master - BR6410208126 </t>
  </si>
  <si>
    <t>Juliana Delfim</t>
  </si>
  <si>
    <t>HUAWEI DO BRASIL M/A TELECOMUNICACOES LTDA - BR - AirSea - Huawei Spots</t>
  </si>
  <si>
    <t>ef18fd69-1b34-f111-88b4-7c1e52730c2d</t>
  </si>
  <si>
    <t>Sn0jAN85Ac+b1PYGW2Xm2ubQm7tpYn2FoyjlWp8dI1e0kFllMg/Hb/OdWX6sN0UXYEVd/P9koSMHwSLuEB8rwA==</t>
  </si>
  <si>
    <t>BORGWARNER BRASIL LTDA M/A - BR - AirSea - METALURGICA BEFRAN | LSE (FEA) |FCA | BRGRU x KRICN | QUOTE# QCPQ00075274| REF CLIENTE: BORG WARNER KOREA - ARGOSUS - INVOICE 1020090</t>
  </si>
  <si>
    <t>7d754515-6b16-f111-8341-6045bd94c6ba</t>
  </si>
  <si>
    <t>YCCxLvIg2DL2DaJ+nLMcWeTpoEOwix9GtJZyBTTusQAsUKexMjO2kGguW7+x4rUIzvuDR5hl8GYOCCRKJjACvA==</t>
  </si>
  <si>
    <t xml:space="preserve">DENTSPLY INDUSTRIA E COMERCIO LTDA - Master - BR6413364695 </t>
  </si>
  <si>
    <t>Sinuhe Olmo</t>
  </si>
  <si>
    <t>DENTSPLY INDUSTRIA E COMERCIO LIMIT - BR - AirSea - Sea Freight (LCL) from Santos to Tianjin Xingang (FCA)</t>
  </si>
  <si>
    <t>bbf0de5c-6003-f111-8406-6045bd94c515</t>
  </si>
  <si>
    <t>feItcuMWLw8gWtS3UNLTtuzU4MMG4/OIncK9Hb8RbvEBBIlNOyLof0LF4aWNbrfFe+LwvTlECZJ5u5dLgKQdZg==</t>
  </si>
  <si>
    <t xml:space="preserve">ESTIVAL IMPORTACAO EXPORTACAO LTDA - Main - BR6411195847 </t>
  </si>
  <si>
    <t>ESTIVAL IMPORTACAO EXPORTACAO LTDA - BR - AirSea - Air Export (BR x CO)</t>
  </si>
  <si>
    <t>CO</t>
  </si>
  <si>
    <t>7f467969-474a-f111-bec6-6045bd94c31f</t>
  </si>
  <si>
    <t>kQhweeKVQT67mB0+JPsSES29H/Er4ZkbmPuPt2nJZm4KsnNFwsrx0+e9J52I4SzYu32w99gAx4JgS6QkeFkb9Q==</t>
  </si>
  <si>
    <t>Lear do Brasil Industria e Comerciode Interiores Automotivos Ltda - Acc-09239021.</t>
  </si>
  <si>
    <t>Bruno Sagaz</t>
  </si>
  <si>
    <t>Lear do Brasil Industria e Comerciode Interiores Automotivos Ltda - BR - AirSea - Lear do Brasil Industria e Comercio</t>
  </si>
  <si>
    <t>Salvador</t>
  </si>
  <si>
    <t>c57a6269-05f6-f011-8406-6045bd94cb22</t>
  </si>
  <si>
    <t>E4aklTmck4OO2lGdM81nPgcLKLokRwgPzBtllYpmmdR2Dz3fH7GuKGOn42HNF/F0yxzSAZ6w7u4lfRtzimCBpA==</t>
  </si>
  <si>
    <t xml:space="preserve">FLODIM DO BRASIL LTDA ME - Main - BR6409017292 </t>
  </si>
  <si>
    <t>FLODIM DO BRASIL LTDA ME - BR - AirSea - FLODIM</t>
  </si>
  <si>
    <t>135f385e-8ef8-f011-8406-7c1e524e02d9</t>
  </si>
  <si>
    <t>cssFVbftnHYCgfKFvtDG8SNAmW/CqReCsRYEWPW9g0YS0bMjTat+AwmTIu3GX9HzpEFmSN/MsednnN/l2iTz+Q==</t>
  </si>
  <si>
    <t xml:space="preserve">CASA GRANADO LABOR FARMACIAS E DROGARIAS S/A - Main - BR6409013743 </t>
  </si>
  <si>
    <t>OLD Debora Flosi</t>
  </si>
  <si>
    <t>CASA GRANADO LABOR FARMACIAS E DROGARIAS S/A - BR - AirSea - Casa Granado SI LCL PO 216/25</t>
  </si>
  <si>
    <t>TW</t>
  </si>
  <si>
    <t>333419a2-d4f4-f011-8406-6045bd94cf79</t>
  </si>
  <si>
    <t>4nKDrbC5bU5zlTOEvg3OLxu0aGQFS4GJbXqWB3R+OMNhk23utIN9/7hc9p8sHreP0gyIXvk7mQFeo2arXulCFQ==</t>
  </si>
  <si>
    <t xml:space="preserve">BASF SA M/A - Master - BR6409394427 </t>
  </si>
  <si>
    <t>Renan Leite</t>
  </si>
  <si>
    <t>[HOT] BASF SE Global Air RFQ 2026</t>
  </si>
  <si>
    <t>79096a53-8524-f111-8341-6045bd94c510</t>
  </si>
  <si>
    <t>IVzqXtMIGT/Czu/2E7jACI3aBgEyhcum/nCE7Yzwb1iIV3Nf7EO+38wUMbno4CPdUgd3vExhTTFSkkDoWQuPbA==</t>
  </si>
  <si>
    <t xml:space="preserve">STAHL BRASIL SA M/A - Master - BR6411155636 </t>
  </si>
  <si>
    <t>STAHL BRASIL SA M/A - BR - AirSea - Air Export (FEA) - BR x US</t>
  </si>
  <si>
    <t>c9438bda-4821-f111-8341-000d3a2548e6</t>
  </si>
  <si>
    <t>Ij5qn+XQHAm7PrIfe5TU3BiCBiePiazYi8TRv3J/UzOPRrP4bIeVfO4c568Q2jfoFqj4ClPvZ3slk2LbZzCL7g==</t>
  </si>
  <si>
    <t xml:space="preserve">DETROIT BRASIL LTDA - Main - BR6407906595 </t>
  </si>
  <si>
    <t>DETROIT BRASIL LTDA - BR - AirSea - . spot d-1515/10 us</t>
  </si>
  <si>
    <t>3e9ea18e-8128-f111-8341-000d3a2548e6</t>
  </si>
  <si>
    <t>0HjjfRY7s0tcwlrBp8blEKl4rrorPi7PlFhmTSSHSqSD4IWrBUC4iOT+GwqMDMinnhbmP7LhryEegs6g0rqjJA==</t>
  </si>
  <si>
    <t xml:space="preserve">JAGUAR E LAND ROVER BRASIL M/A IND E COM DE VEICULOS LTDA - Master - BR6409966596 </t>
  </si>
  <si>
    <t>Silas Azevedo</t>
  </si>
  <si>
    <t>JAGUAR: exportação máquina para UK_Retorno em 10/03/2026 - QRIO0027382</t>
  </si>
  <si>
    <t>GB</t>
  </si>
  <si>
    <t>3d8870dc-8948-f111-bec6-6045bd94c403</t>
  </si>
  <si>
    <t>hqjabM5JQHkSq3xwB04mnaLO45YEXskUWi+vDYDnpj//4kdB4c4Fs/Ne1T7UWHxXY1yz/HvZ8AHm4Hil+h/qbw==</t>
  </si>
  <si>
    <t xml:space="preserve">THYSSENKRUPP BRASIL LTDA M/A - Master - BR6409406234 </t>
  </si>
  <si>
    <t>THYSSENKRUPP BRASIL LTDA M/A - BR - AirSea - **FECHAMENTO** Cotação Frete Rodoviário – Porto de Santos - QCPQ00076275</t>
  </si>
  <si>
    <t>26b0a10a-caec-f011-8544-7ced8d9725bf</t>
  </si>
  <si>
    <t>ecl2p3OpSEe+A0rS8t2Glqa3wPlr1IyDVnoTR7xDK5JEb9K5haMK9MnMOiM/n0PZJ6LDoJAS2nRvtgqJLTbHMQ==</t>
  </si>
  <si>
    <t xml:space="preserve">THYSSENKRUPP SPRINGS E STABILIZERS BRASIL LTDA - Main - BR6412363158 </t>
  </si>
  <si>
    <t>Thyssenkrupp Springs &amp; Stabilizers Brasil Ltda - BR - AirSea - 12027-LCL</t>
  </si>
  <si>
    <t>TH</t>
  </si>
  <si>
    <t>3f87f39f-bd11-f111-8406-000d3a254c63</t>
  </si>
  <si>
    <t>wxgpXQjsvUe6cjc9pzaFiy3ByGHGMzHdRup6r9dWMa7Lls0ky+1DgDL9aC2Y8HuLyW0owW+EKyASfCsqfG3cLQ==</t>
  </si>
  <si>
    <t xml:space="preserve">LUXOTTICA BR PR OTICOS ESPORT M/A - Master - BR6410296637 </t>
  </si>
  <si>
    <t>Paola Matioli</t>
  </si>
  <si>
    <t>LUXOTTICA BR PR OTICOS ESPORT M/A - BR - AirSea - SPOT QUOTE - Q1/2026 - AIR</t>
  </si>
  <si>
    <t>4ed30832-9f4b-f111-bec6-6045bd94c6ba</t>
  </si>
  <si>
    <t>6uNhRw28MGSLSYDFA5WJkQ/QAAnGurx2dBAXVKIjAvoo0kKhsdqtZeXrZVq33U9HuPFj7eX0KH22nkvzyAP0Xg==</t>
  </si>
  <si>
    <t xml:space="preserve">GE ENERGIAS RENOVAVEIS LTDA M/A - Master - BR6413218782 </t>
  </si>
  <si>
    <t>GE ENERGIAS RENOVAVEIS LTDA M/A - BR - AirSea - GE ENERGIAS RENOVAVEIS LTDA M/A - BR - AirSea</t>
  </si>
  <si>
    <t>d3c846c9-3c52-f111-bec7-70a8a564b123</t>
  </si>
  <si>
    <t>DHYkiMvqzNcPqQ5TWkzJ6bnvP8BVhvsQg9GMq+b8L74pbLfgsqhr0UGzBU8F/j1SSkMHeurV3yPG86JZVbYZNA==</t>
  </si>
  <si>
    <t xml:space="preserve">AMCOR DO NORDESTE - IND E COM DE EMBALAGENS LTDA - Main - BR6409230786 </t>
  </si>
  <si>
    <t>[CA] AMCOR DO NORDESTE - IND E COM DE EMBALAGENS LTDA - BR - AirSea - IMP AIR - MX X BR - 80Kg</t>
  </si>
  <si>
    <t>71b3dd8a-3deb-f011-8544-7c1e5211d718</t>
  </si>
  <si>
    <t>oOMtvxdFtUXQxJ/K+ocsp3WD8KWbblzlhdc88YF/xAN+7uLUgJtKxzSHB2cFnxlRBGWQNLzWSigbTd6cgJXGTw==</t>
  </si>
  <si>
    <t xml:space="preserve">FOXCONN BRASIL INDUSTRIA M/A E COMERCIO LTDA - Master - BR6410286929 </t>
  </si>
  <si>
    <t>FOXCONN BRASIL INDUSTRIA M/A E COMERCIO LTDA - BR - AirSea - Spots Foxconn</t>
  </si>
  <si>
    <t>MO</t>
  </si>
  <si>
    <t>d8da1f23-39eb-f011-8544-6045bd903ad1</t>
  </si>
  <si>
    <t>9EiSZcytsFhBk7beqhIbKVzrkSZY1w0Z+hHWg4251slcHxdoxYU64y1HrCgBkh7eBo8cncANv0Z2V4pDqCKcTQ==</t>
  </si>
  <si>
    <t>3ed99f91-0d4b-f111-bec6-6045bd94c4ce</t>
  </si>
  <si>
    <t>Dzxqdc65JbkICLu8fnhHJKA7jJTYeRsi5NQJVAXGP2NM/QRd3hs1NbclwZpRSNrUQ2bkY+oPlHwobG3HvY+D7w==</t>
  </si>
  <si>
    <t xml:space="preserve">CONNECTA IMPORTACAO E M/A EXPORTACAO LTDA - Master - BR6412732510 </t>
  </si>
  <si>
    <t>Viviane Bertasso</t>
  </si>
  <si>
    <t>CONNECTA IMPORTACAO E M/A EXPORTACAO LTDA - BR - AirSea - FIA - KR/BR -EDCOL - UED260590 - SILVIO</t>
  </si>
  <si>
    <t>dd718403-de43-f111-88b3-7c1e524ef7e6</t>
  </si>
  <si>
    <t>GSEUxUfu64BeWpljf5ia1Ii2e+42lnDkvBXnurIZvLnXU737j7VLI2eA/WX3YzT6HcQlzV3gRvOfO2tC1uYLBg==</t>
  </si>
  <si>
    <t>DENTSCARE LTDA M/A - BR - AirSea - . spot 214427 ao</t>
  </si>
  <si>
    <t>AO</t>
  </si>
  <si>
    <t>31f8d17a-5d4d-f111-bec6-000d3aae9dd4</t>
  </si>
  <si>
    <t>mF4UROH/gfmbfXgaZ7odiir53DOcM4mM2Vld2p6B8tnQWFzTCxXGkyujkuFcDUvptoZ9QoRWUt0XxPu01QRLpw==</t>
  </si>
  <si>
    <t>STAHL BRASIL SA M/A - BR - AirSea - LCL Import (FIS) ES x BR</t>
  </si>
  <si>
    <t>ES</t>
  </si>
  <si>
    <t>98e604bf-dc10-f111-8406-6045bd94c510</t>
  </si>
  <si>
    <t>z1duOlw38lpX9YLQ6/D6zHkKfNnGd6d+9hHZ/cGVd01sTZmCy8J6P0GNr09W/kgMFpV2Xwybv4B0/6hsQ1l9jA==</t>
  </si>
  <si>
    <t xml:space="preserve">AMCOR RIGID PACKAGING M/A DO BRASIL LTDA - Master - BR6410856589 </t>
  </si>
  <si>
    <t>Thais Almeida</t>
  </si>
  <si>
    <t>AMCOR - FEA BR x US</t>
  </si>
  <si>
    <t>4b03a70b-d913-f111-8406-000d3aabb0c5</t>
  </si>
  <si>
    <t>31sKyvKBEsC1cYksRclEHuvnZm3Eir99OSSgD89+aaTs2stOYjYFrMPv+1iCrikVYhVnWiluAu8WRFhlnXngrw==</t>
  </si>
  <si>
    <t>DENTSCARE LTDA M/A - BR - AirSea - . spot 207743 kw</t>
  </si>
  <si>
    <t>KW</t>
  </si>
  <si>
    <t>8c3a7e4d-c206-f111-8406-6045bd94ca6d</t>
  </si>
  <si>
    <t>MhpJ6iTX27csvShRmXt9p9E7xc61MFmq6ZmwY/EkVOwnyF6l0tqXmo/Zxjkbbzlt9KScUs2+7co4oZqsBoZGew==</t>
  </si>
  <si>
    <t xml:space="preserve">TKA GUINDASTES INDUSTRIA E COMERCIO LTDA - Main - BR6413061293 </t>
  </si>
  <si>
    <t>**HOT OPP** TKA GUINDASTES INDUSTRIA E COMERCIO LTDA - BR - AirSea - Air Export (FEA) - BR x CO</t>
  </si>
  <si>
    <t>e9f3e45d-f55d-f111-a826-000d3a2544a1</t>
  </si>
  <si>
    <t>u3RfICed4E8ke79POWMalLZl+1q6eUQWtpyMyMngMMnlz3QLnnLSX98qFl4ylb2pb/PiJMFKdKhVi7/dyg8XPg==</t>
  </si>
  <si>
    <t xml:space="preserve">ENGIE SOLUCOES DE OPERACAO E MANUTENCAO LTDA - Main - BR6410328580 </t>
  </si>
  <si>
    <t>ENGIE SOLUCOES DE OPERACAO E MANUTENCAO LTDA - BR - Air&amp;Sea - FIA: CZ X BR</t>
  </si>
  <si>
    <t>d6fed11f-3f08-f111-8406-000d3a2544a1</t>
  </si>
  <si>
    <t>BB6scrJp4yx/syLTQLTOZwRawNzEBv0137ex714mKs/4kxVelN4PUDdLpjt9oa7+XXDu5+tMpndrn9eSE5GY5g==</t>
  </si>
  <si>
    <t xml:space="preserve">SEB DO BRASIL PRODUTOS DOMESTICOS LTDA_99001603 - Main - BR6408966851 </t>
  </si>
  <si>
    <t>SEB DO BRASIL PRODUTOS DOMESTICOS LTDA_99001603 - BR - AirSea - GLOBAL RFQ - 2026</t>
  </si>
  <si>
    <t>EG</t>
  </si>
  <si>
    <t>3f400fc8-4b00-f111-8406-6045bd890446</t>
  </si>
  <si>
    <t>D8xTFQi3N/Lg0/UeH/ulP27W1yHBbKLJMlIAVd7aXcl4JdI+z3UjAclwx/OYljQ8KLqg4QoixYo+O13j1a3D9A==</t>
  </si>
  <si>
    <t>Brokerage</t>
  </si>
  <si>
    <t>88</t>
  </si>
  <si>
    <t>7f1a03c8-9519-f111-8341-6045bd94c73f</t>
  </si>
  <si>
    <t>0NAeMIU1yihFjSs6qVbE6B3oFJ3LtU+AH0UFKpJjSZf190nu1SNc89DqZYKt7pCABKkL7D/2dRVCvnB1HeN3Og==</t>
  </si>
  <si>
    <t xml:space="preserve">STRYKER DO BRASIL LTDA. - Master - BR6413234779 </t>
  </si>
  <si>
    <t>Andre Bertti</t>
  </si>
  <si>
    <t>STRYKER DO BRASIL LTDA. - BR - AirSea - FEA - ORIGINS</t>
  </si>
  <si>
    <t>25d72936-dc5d-f111-a826-6045bd94c73f</t>
  </si>
  <si>
    <t>u4RtDov5iSk9isw3NgzWuHSAQsgvj+RMs80LCKEs8CqMCJaUm9Ea/iiEPfaZPIoW6MYXWntlfjIWE7wc6Vsehw==</t>
  </si>
  <si>
    <t>e4982a3c-8053-f111-bec7-6045bd94ca6d</t>
  </si>
  <si>
    <t>8R3PKLjOdx0aRDMwpG7rp33VsbrzY+Iw1PRwwZeGJZVSgekyehRy68wrs/V4Os6esQPsFcZl6LioAW+MYHdafQ==</t>
  </si>
  <si>
    <t xml:space="preserve">COMPANHIA BRASILEIRA DE METALURGIA E MINERACAO - Main - BR6405861937 </t>
  </si>
  <si>
    <t>COMPANHIA BRASILEIRA DE METALURGIA E MINERACAO - BR - AirSea - CBMM - IMPORTACAO</t>
  </si>
  <si>
    <t>6ff91dd2-0109-f111-8406-7ced8d94f93b</t>
  </si>
  <si>
    <t>eRUqS2xpP/BYXu4P25AlVwPUS8foScLKIqHbKytMF6ra9AFdgWOEjyLPCYe4gSh9L15IzUO9UNLydb3xAfNQyQ==</t>
  </si>
  <si>
    <t xml:space="preserve">METSO BRASIL INDUSTRIA E M/A COMERCIO LTDA - Master - BR6408694336 </t>
  </si>
  <si>
    <t>METSO BRASIL INDUSTRIA E M/A COMERCIO LTDA - BR - AirSea - EXPORTAÇÃO MARÍTIMA</t>
  </si>
  <si>
    <t>LR</t>
  </si>
  <si>
    <t>2895f034-8906-f111-8406-6045bd94c80d</t>
  </si>
  <si>
    <t>JaCNpJNaNrl0KCswJsrXugQOqPC9EAMuMdsjvT4V9NlTkbHoSwWziApoFMipVa4BBY55cgKt07vaIFX/Xz3HQg==</t>
  </si>
  <si>
    <t xml:space="preserve">METAL MARC INDUSTRIA METALURGICA LTDA - Main - BR6410716754 </t>
  </si>
  <si>
    <t>WON- METAL MARC INDUSTRIA METALURGICA LTDA - BR - AirSea - Air Import (DE x BR)</t>
  </si>
  <si>
    <t>fac3dfc1-4a22-f111-8341-6045bd94c4ce</t>
  </si>
  <si>
    <t>uiGpBq2PNv13K1/kCc0X6G5njj97p4sYnY94yWlTouATEKrXhkYq4YN0X00rH2lRYaKeuRQGOi4hCQ2+CyulMw==</t>
  </si>
  <si>
    <t>BAKER HUGHES DO BRASIL LTDA - BR - AirSea - AFR - Rio x Paris</t>
  </si>
  <si>
    <t>68f31d57-f43c-f111-88b4-7c1e5226d470</t>
  </si>
  <si>
    <t>vUTMjahmNoIchMa68wn6werq3GOUIt3ofM7vWQvRFmMeANVOyX7n2jNYz2mS7K5OXsSsRaYlnYSteWCHlTF79g==</t>
  </si>
  <si>
    <t>SOUTHCO BRASIL COMPONENTES INDUSTRIAIS LTDA. - Acc-03561678.</t>
  </si>
  <si>
    <t>SOUTHCO BRASIL COMPONENTES INDUSTRIAIS LTDA. - BR - AirSea - SOUTHCO - BROKERAGE</t>
  </si>
  <si>
    <t>6c1e4885-0c2d-f111-88b3-000d3a254045</t>
  </si>
  <si>
    <t>ngbI2jX82dwsl7GKAHIgFCm8XhvLRShYK4Mmuaa0qG6Hqec/YpjSKeeOr0O6ttK5JIZjrU1I1M1KHnZMob7YTQ==</t>
  </si>
  <si>
    <t xml:space="preserve">SPE TIETA LTDA. - Main - BR6411215557 </t>
  </si>
  <si>
    <t>SPE TIETA LTDA. - BR - AirSea - SPE TIETA LTDA.</t>
  </si>
  <si>
    <t>d607613e-4617-f111-8341-6045bd94cb22</t>
  </si>
  <si>
    <t>mlHJIONlwpEd1D21KPQI3o5R5ISv9tWIW4yXhwQYZ5/p6AK75tGxTImJl6AO+OA2yrkf7HRYGwH1IjgRItcaug==</t>
  </si>
  <si>
    <t xml:space="preserve">M DIAS BRANCO S.A. IND E COM DE ALIMENTOS - Main - BR6407202529 </t>
  </si>
  <si>
    <t>[CA] M DIAS BRANCO S.A. IND E COM DE ALIMENTOS - BR - AirSea - EXP FCL -1X40'HC - BR X PT</t>
  </si>
  <si>
    <t>576a1636-c026-f111-8341-6045bd94cd49</t>
  </si>
  <si>
    <t>TTtt+h70ximPe+fu08+v99K2Swddy2A2+BdexgArWZ4lMrrVehL1Whl+kJ6vKlF4raB/0KYM28LXe1GXWfffAw==</t>
  </si>
  <si>
    <t xml:space="preserve">PRODUMASTER INDUSTRIA DE COMPOSTOS PLASTICOS LTDA - Main - BR6411024161 </t>
  </si>
  <si>
    <t>PRODUMASTER INDUSTRIA DE COMPOSTOS PLASTICOS LTDA - BR - AirSea - PRODUMASTER INDUSTRIA DE COMPOSTOS PLASTICOS LTDA</t>
  </si>
  <si>
    <t>ab798238-134a-f111-bec6-6045bd94c664</t>
  </si>
  <si>
    <t>F6M8rYTkAkAiqUZE3BIcsvPzCpARri48Vrp8ue+AZDUTRx6Hf3lX8tu0IEegMhvwxQhiIKTldpxt/8f3qzOOCw==</t>
  </si>
  <si>
    <t xml:space="preserve">ADIENT DO BRASIL M/A BANCOS AUTOMOTIVOS LTDA - Master - BR6409398009 </t>
  </si>
  <si>
    <t>ADIENT DO BRASIL M/A BANCOS AUTOMOTIVOS LTDA - BR - AirSea - Air Freight (LSE) from Shanghai Pudong International Apt to Guarulhos Apt / Sao Paulo via Miami (EXW)</t>
  </si>
  <si>
    <t>7616defe-34f5-f011-8406-0022488533a1</t>
  </si>
  <si>
    <t>kTuYqnLiElJF8bpz9Mx+tJCvCE+DnMtnyA1FixnbeA/Ie4MrN2yTeC6JAe0EsnEokireRBTaBRsDTJwyvgZugw==</t>
  </si>
  <si>
    <t xml:space="preserve">Paranatex Ind.Textil Ltda - Main - BR6412359376 </t>
  </si>
  <si>
    <t>Marcel Lopes</t>
  </si>
  <si>
    <t>Paranatex Ind.Textil Ltda - BR - AirSea - WON FIA IT x BR Q1</t>
  </si>
  <si>
    <t>6499b49d-d310-f111-8406-6045bd94c510</t>
  </si>
  <si>
    <t>4CM+9xJNDpJwKfVSw/sEvEDPQ8mYNYVCOoAKBJgewrFER+4oi79TlbnJHYWZqNTekxFTcd2olXzgN3kmbd2C1Q==</t>
  </si>
  <si>
    <t xml:space="preserve">BIOECCO EMBALAGENS ECOLOGICAS LTDA - Main - BR6410267665 </t>
  </si>
  <si>
    <t>BIOECCO EMBALAGENS ECOLOGICAS LTDA - BR - AirSea - spot gb</t>
  </si>
  <si>
    <t>9a1ab711-173f-f111-88b4-0022487edd57</t>
  </si>
  <si>
    <t>r4bhvPLfyqkTRaL42Ujbz0tLJZRC50CtJ8yCwNPYcRS1rIQSjHQLOtkzZiTqxvM1TE5rK2yg+fTWJcd/j5setA==</t>
  </si>
  <si>
    <t xml:space="preserve">JJGC INDUSTRIA E COMERCIO M/A DE MATERIAIS DENTARIOS S.A - Master - BR6410990045 </t>
  </si>
  <si>
    <t>JJGC INDUSTRIA E COMERCIO M/A DE MATERIAIS DENTARIOS S.A - BR - AirSea - FEA - BR/US</t>
  </si>
  <si>
    <t>f6a43e65-5eea-f011-8406-00224881e13c</t>
  </si>
  <si>
    <t>68YXYomsk+SkywM5X8ZehL0p0fbRWw0Fmtxby7qmG8Y8qfMTaAagiUtNT8C/bwslCR5hpdfpRYETP9CWHSGDYA==</t>
  </si>
  <si>
    <t xml:space="preserve">PPG IND BRASIL TINTAS VERNIZES LTDA - Main - BR6405555763 </t>
  </si>
  <si>
    <t>Leticia Porto</t>
  </si>
  <si>
    <t>PPG IND BRASIL TINTAS VERNIZES LTDA - BR - AirSea - GSA LCL AWARD 2026</t>
  </si>
  <si>
    <t>7afedda8-37eb-f011-8544-6045bd903ad1</t>
  </si>
  <si>
    <t>o1wbj6T8d+/z8XbtK4MOQIknnASAY3YUjJoHxLdquOHf3tkeqez3W57MrqoQpKSFUiihe7KbJyyTU2bHDTjEeA==</t>
  </si>
  <si>
    <t>179d121a-db5d-f111-a826-6045bd94c73f</t>
  </si>
  <si>
    <t>/vIu0UQMxgwU7ODchLtx9vkGnfsw5EFnUOn6Ur4Ww9eMbpspU+p3Bip6wdnO6H5/R2woZTVhaqm4cfAitRX9lw==</t>
  </si>
  <si>
    <t>STRYKER DO BRASIL LTDA. - BR - AirSea - RFP - FIA</t>
  </si>
  <si>
    <t>PR</t>
  </si>
  <si>
    <t>cac0a44e-dc5d-f111-a826-6045bd94c73f</t>
  </si>
  <si>
    <t>2wpULE+Ij9yg/0bETcWlx3Og6K0LWgjgW3sOjoLWUBWvQSmCmgZCnVoVYiYG4wxCHgLi1HgCpTP2IsNHCZHvWA==</t>
  </si>
  <si>
    <t>132c393d-7f5f-f111-a826-6045bd94c31f</t>
  </si>
  <si>
    <t>4DFOVIZSFw3iOhkDbaHprzsUSGpFwsXK1Mss4V+NeC5OW5kaEb7MQUJdYZtRDzARvoSIJ0NBb7aV07PruOgssg==</t>
  </si>
  <si>
    <t xml:space="preserve">Nexans Brasil S.A. - Main - BR6404973537 </t>
  </si>
  <si>
    <t>Nexans Brasil S.A. - BR - Air&amp;Sea - FIS: CH X BR</t>
  </si>
  <si>
    <t>2b72ea07-fc16-f111-8341-000d3a254953</t>
  </si>
  <si>
    <t>akyWPItvE9I3djtqC8a1smWLFK8cOyAt08GxScKIR8T+p/pGCkWT7NbFLY7ecsb8uI2lgUT4VeTZEZRx0N4/Gg==</t>
  </si>
  <si>
    <t xml:space="preserve">AMCOR FLEXIBLES BRASIL LTDA - Main - BR6406647846 </t>
  </si>
  <si>
    <t>Tatiana Kaminski</t>
  </si>
  <si>
    <t>AMCOR FLEXIBLES BRASIL LTDA - BR - AirSea - FCL - IT X BR</t>
  </si>
  <si>
    <t>07ff9995-a150-f111-bec7-6045bd94c80d</t>
  </si>
  <si>
    <t>l1Fh5EtmA3tKrtByGb1ZHI4lG8Fj8++JLVkRGsj0tqHVcL2ETrQ9WqCtkYapggFAbxEQe8ZVoa+inXTQp9EofQ==</t>
  </si>
  <si>
    <t>STAHL BRASIL SA M/A - BR - AirSea - Air Export (FEA) - BR x TH</t>
  </si>
  <si>
    <t>eea3b9ff-3630-f111-88b4-0022487edd57</t>
  </si>
  <si>
    <t>GpJ+BRoAWf2DzxuB02ErNOnpedPTth2RXcHPgN2ByCLrNgle9TEcnj/rwqfQiPHZoWuJK3ZR+moZuX2ID50WvQ==</t>
  </si>
  <si>
    <t xml:space="preserve">Ge Healthcare Brasil Com M/A  Serv para Equip - Master - BR6410249482 </t>
  </si>
  <si>
    <t>Ge Healthcare Brasil Com M/A  Serv para Equip - BR - AirSea - Spots - GE Healthcare</t>
  </si>
  <si>
    <t>6064ed46-0d4b-f111-bec6-6045bd94c4ce</t>
  </si>
  <si>
    <t>rTOvtCcx/WBoWUqLi2/6jPJAsUd0p9OFjnityfX5x1dctndTGQZKIhiIzHq5kQFz8DyxZaMJR/eIT8JIHd9Ddg==</t>
  </si>
  <si>
    <t>CONNECTA IMPORTACAO E M/A EXPORTACAO LTDA - BR - AirSea - FIA - IN/BR - MSSL INDIA - P36/2027/000402 - JULIA</t>
  </si>
  <si>
    <t>2f3595b8-e638-f111-88b3-6045bd94cab2</t>
  </si>
  <si>
    <t>kzBCCrAtZ1Bat09+3XHbcGN1T+sDl0wCtTTbKyG6rTMcDxFvuGUrw8MShN5GQumoQBdBdqWXSKwtoHvblwM0Rg==</t>
  </si>
  <si>
    <t xml:space="preserve">OGNIBENE HIDROSTATICA LTDA - Main - BR6407993064 </t>
  </si>
  <si>
    <t>OGNIBENE HIDROSTATICA LTDA - BR - AirSea - Air Export (FEA) - BR x US</t>
  </si>
  <si>
    <t>3d76e1dd-914b-f111-bec6-70a8a5a66289</t>
  </si>
  <si>
    <t>tjBMScllM6O4xMuSmpw5AAGENj2J3In30nXD9huNvAEemq0aDwtnLVqnJLXs4hjzEhlakDZUCz3yoMc+uBExzA==</t>
  </si>
  <si>
    <t xml:space="preserve">SOMA SOLUCOES MAGNETICAS INDUSTRIA E COMERCIO LTDA - Main - BR6405302440 </t>
  </si>
  <si>
    <t>SOMA SOLUCOES MAGNETICAS INDUSTRIA E COMERCIO LTDA - BR - AirSea - Soma | Baker Brasil</t>
  </si>
  <si>
    <t>aa0e46f1-8248-f111-bec6-6045bd94c403</t>
  </si>
  <si>
    <t>bkA6yN9gPBZJKl2kHPh96iTEt9TPYElzM9siHFSGsVGM+fyoXdeBR5uHtues0CUsfW6X69ykk2LDchbSZFjdHg==</t>
  </si>
  <si>
    <t>NOURYON PULP AND PERFORMANCE M/A INDUSTRIA QUIMICA LTDA M/A - BR - AirSea - FECHAMENTO | NOURYON (RO)  | MODAL (FES) |  BRSSZ x ILHFA | QUOTE#  QCPQ00076244</t>
  </si>
  <si>
    <t>IL</t>
  </si>
  <si>
    <t>5d0d6977-8df8-f011-8406-6045bd94c664</t>
  </si>
  <si>
    <t>2XUJ3BEIinBQJULyK2mCl/WAhJMC/0iE702Dc+XTSuIyogEk4hEswdoS7asXGrNp3FRZTKOtwYKWLEK1PaSdNw==</t>
  </si>
  <si>
    <t>BRAILE BIOMEDICA INDUSTRIA COMERCIO E REPRESENTACOES LTDA - Acc-08940063.</t>
  </si>
  <si>
    <t>Dermeral Nascimento</t>
  </si>
  <si>
    <t>EXP SPOT CRF Braile Biomedica.</t>
  </si>
  <si>
    <t>PK</t>
  </si>
  <si>
    <t>4db052e2-5107-f111-8406-0022488bbae5</t>
  </si>
  <si>
    <t>/LrEPBivC16YjruBbbOi9Osyqe1TAq1qma6/aUFmlZ20Jv8i4t/oIY677plRuSYs4li7lhRXuwGaa4duDdjwZg==</t>
  </si>
  <si>
    <t xml:space="preserve">Terphane Ltda. - Main - BR6403982142 </t>
  </si>
  <si>
    <t>[CA] Terphane Ltda. - BR - AirSea - EXP LCL - SUAPE X CALLOR - OVERSEAS</t>
  </si>
  <si>
    <t>cefd6915-edfa-f011-8406-6045bd94c31f</t>
  </si>
  <si>
    <t>VE2Qc2LIR3HRSAfbelpICzuFmSIcc5GrF/CrGXqlU6dH4PKefN66PWHYvigZtzGBo+KhVEAiN0SdPzqkS1060g==</t>
  </si>
  <si>
    <t>PRIORITY Componentes Automotivos Ltda. - Acc-04738270.</t>
  </si>
  <si>
    <t>PRIORITY Componentes Automotivos Ltda. - BR - AirSea - Air Export (VCP x BOG)</t>
  </si>
  <si>
    <t>ed6ce62d-e808-f111-8406-000d3ac25af3</t>
  </si>
  <si>
    <t>9E8B4tujhA7UDVkUMUtkoPQJ7oIFUybtxoLq8aXr3kmNn2/CB9KTN2rx/s4MMS1YfjkBwbNRzKyDo+on3TrA3w==</t>
  </si>
  <si>
    <t>STAHL BRASIL SA M/A - BR - AirSea - Air Import (FIA) ES x BR</t>
  </si>
  <si>
    <t>a40d6434-1761-f111-a826-0022487edd57</t>
  </si>
  <si>
    <t>6fyZUvZhO3OR8n/ieDRY35jnAio+vjVFnjoA4KgYIprBl4a7IBzvJMh4MC0cFqX2KjIYpWihgBSyOsacCPi7Vw==</t>
  </si>
  <si>
    <t xml:space="preserve">AEL SISTEMAS S.A. - Main - BR6406565094 </t>
  </si>
  <si>
    <t>Sarita Oliveira</t>
  </si>
  <si>
    <t>PBI - AEL SISTEMAS S.A. - BR - Air&amp;Sea - EXP AIR BR X KR</t>
  </si>
  <si>
    <t>01 - Prospecting</t>
  </si>
  <si>
    <t>13-Prospect</t>
  </si>
  <si>
    <t>82777016-3b5f-f111-a825-7ced8d5add24</t>
  </si>
  <si>
    <t>ZMCU8kUd1R4TdbNG3ggIXQt+uGRRK3O1kieUeXjCx8UJsySY14plUPoZZ0eRHVFkwiI/3fzL1WGGOt+mmPEEyg==</t>
  </si>
  <si>
    <t xml:space="preserve">CONTITECH DO BRASIL PRODUTOS AUTOMOTIVOS E INDUSTRIAIS LTDA M/A - Master - BR6409395136 </t>
  </si>
  <si>
    <t>CONTITECH DO BRASIL PRODUTOS AUTOMOTIVOS E INDUSTRIAIS LTDA M/A - BR - AirSea - FIA - SK/BR - ContiTech - PO 4500186670 - Solicitação de frete aéreo  -QBTS00289495</t>
  </si>
  <si>
    <t>SK</t>
  </si>
  <si>
    <t>4ea57617-550b-f111-8406-6045bd94c9df</t>
  </si>
  <si>
    <t>pOF/XcPSyl1NDUeI1ZMIQgu5FhFWwjami8+1oTdKxPTJWasx85p5U+TCRCzk2EgyCnAA2iYEWGt0bdsAALV/Wg==</t>
  </si>
  <si>
    <t xml:space="preserve">Johnson Controls Be do Brasil M/A Ltda - Master - BR6410288861 </t>
  </si>
  <si>
    <t>Johnson Controls Be do Brasil M/A Ltda - BR - AirSea - SPOT QUOTE Q1-26</t>
  </si>
  <si>
    <t>196bc775-a732-f111-88b4-000d3a254607</t>
  </si>
  <si>
    <t>FSTq8q7mS6o86e9FjKIb1b/W48ZHVKSqHmqE8EU0Pn7TXFlFF9yLG8gtkA+qHVLYDEhlMJQhuwlU0uTFYkAGYQ==</t>
  </si>
  <si>
    <t xml:space="preserve">VOLANI METAIS INDUSTRIA E COMERCIO LTDA - Main - BR6412716803 </t>
  </si>
  <si>
    <t>VOLANI METAIS INDUSTRIA E COMERCIO LTDA - BR - AirSea - . spot 148102 mx</t>
  </si>
  <si>
    <t>7beaa3a8-a55e-f111-a825-70a8a55eb713</t>
  </si>
  <si>
    <t>pgOGhwU7CltAZowduBgar49Y/gN/cFDTWvuIEqVg28uj1ycZYimXtW2HfaQjtDoeB3DKG8qSXUGJoQ0Psx8jBw==</t>
  </si>
  <si>
    <t xml:space="preserve">RENAULT DO BRASIL S.A. - Main - BR6404949774 </t>
  </si>
  <si>
    <t>Lorenza Oldakoski</t>
  </si>
  <si>
    <t>RENAULT DO BRASIL S.A. - BR - Air&amp;Sea - FIA FR x BR SPOT QUOTE 283625823 - QCWB00304894</t>
  </si>
  <si>
    <t>d01c9f87-df4a-f111-bec5-000d3a28475e</t>
  </si>
  <si>
    <t>DR0jQnQuWyo+tC8tBh9Jud5zwlqKbDHg+aT/BL7fMLVpTJnh6Xbpf2kQ4JJc/ZgbrJVWvKyglganPXyU/MjLsA==</t>
  </si>
  <si>
    <t xml:space="preserve">AMCOR FLEXIBLES DO BRASIL INDUST E COMERCIO DE EMBALAGENS LTDA. M/A - Master - BR6410237058 </t>
  </si>
  <si>
    <t>AMCOR FLEXIBLES DO BRASIL INDUST E COMERCIO DE EMBALAGENS LTDA. M/A - BR - AirSea - LCL - BR X PE - 5,184M3</t>
  </si>
  <si>
    <t>93608127-45ea-f011-8406-0022487ef1e5</t>
  </si>
  <si>
    <t>r9uEWZOl4P7nmSmQ+237fTYps57kqaKpR3ORP0nJ94Po9R/8H3QDgzZj0G1fPFb09VKElaeMBWg4Yi8m/T3MqA==</t>
  </si>
  <si>
    <t xml:space="preserve">BEATRICE - COMERCIO IMPORTACAO E EXPORTACAO DE AMENDOIM LTDA - Main - BR6409762689 </t>
  </si>
  <si>
    <t>Azure Batch</t>
  </si>
  <si>
    <t>BEATRICE - COMERCIO IMPORTACAO E EXPORTACAO DE AMENDOIM LTDA - BR - AirSea - BID Beatrice FCL Q1, Q2</t>
  </si>
  <si>
    <t>eb1b8dde-c0f0-f011-8406-6045bd94ca6d</t>
  </si>
  <si>
    <t>uz7LEy9Tp9nD4rfZceA3AsQAHS8fi0uMOYnyLdEkoKkxlVYCyOSozKRgzWH8mk1Ho+JElIz2UVMlxC+gEOK9iA==</t>
  </si>
  <si>
    <t xml:space="preserve">ZILIA TECHNOLOGIES INDUSTRIA DE COMPONENTES SEMICONDUTORES LTDA - Main - BR6406670892 </t>
  </si>
  <si>
    <t>ZILIA TECHNOLOGIES INDUSTRIA DE COMPONENTES SEMICONDUTORES LTDA - BR - AirSea - *HOT* ZILIA RFQ 2026/2027 - Local Tender</t>
  </si>
  <si>
    <t>1e6e4c3b-36eb-f011-8544-7c1e525e8c76</t>
  </si>
  <si>
    <t>FpKkJlsw15S6hwQi544kobcV74YjwLbOGnTCvjnwU3cPDAkjGbfZejnb2hSJdUB240yfLfWKtJhqqY2kDAOa3Q==</t>
  </si>
  <si>
    <t>RENAULT DO BRASIL S.A. - BR - AirSea - FEA BR x RO SPOT QUOTE EXPO R1312 VC e PT - ROMENIA</t>
  </si>
  <si>
    <t>RO</t>
  </si>
  <si>
    <t>4c33c7a4-4e59-f111-bec6-000d3a2fa88b</t>
  </si>
  <si>
    <t>N+BMCpM+oLZXToORGAi/6mzfplfM24RoGnyw3TUIWNpf54Z9zIZg8FxqKVLaMVlDwnQENLHm8vYDEsOYx6T9Ug==</t>
  </si>
  <si>
    <t xml:space="preserve">GE POWER &amp; WATER EQUIP E SERV DE ENERGIA E TRAT DE AGUA LTDA - Master - BR6410000480 </t>
  </si>
  <si>
    <t>GE POWER &amp; WATER EQUIP E SERV DE ENERGIA E TRAT DE AGUA LTDA - BR - AirSea - GE POWER E WATER</t>
  </si>
  <si>
    <t>c3470c26-7142-f111-88b4-6045bd94c1ab</t>
  </si>
  <si>
    <t>Reckt6OfLzR5FAR1Nc5oF0IlPk5lBUsmawWblpmlGvjPii0DHl3W4l5bWsqXWzC+lUiYRMXanhrERGMhoW5u/Q==</t>
  </si>
  <si>
    <t xml:space="preserve">FIBRAEX INDUSTRIA COMERCIO E EXPORTACAO LTDA - Main - BR6410709395 </t>
  </si>
  <si>
    <t>FIBRAEX INDUSTRIA COMERCIO E EXPORTACAO LTDA - BR - AirSea - FIBRAEX IN</t>
  </si>
  <si>
    <t>3bac8599-600e-f111-8406-000d3aabb0c5</t>
  </si>
  <si>
    <t>OFN8ewYMN12oNWL6wRJiwKTVYq7dgZeyn60Xqyur2MnwSG2u0mzZF3j7l5KVU1BQtmudUtL4U9wv+3Keti8vxQ==</t>
  </si>
  <si>
    <t xml:space="preserve">SCHULZ S.A. - Main - BR6406191376 </t>
  </si>
  <si>
    <t>SCHULZ S.A. - BR - AirSea - FES BR x NL SPOT QUOTE W11</t>
  </si>
  <si>
    <t>1410aa85-58ed-f011-8543-7ced8dc6011e</t>
  </si>
  <si>
    <t>empj6iwUkpbtZIzfFTinHdLws1Lqt6k6AVXB9b1PdvuJpLKcfcNk3ovJ2zND32k9YlhMW8MJQtr3CQ+xmRnqVw==</t>
  </si>
  <si>
    <t xml:space="preserve">DAF CAMINHOES BRASIL INDUSTRIA LTDA - Main - BR6406179336 </t>
  </si>
  <si>
    <t>DAF CAMINHOES BRASIL INDUSTRIA LTDA - BR - AirSea - AIR - BR X NL</t>
  </si>
  <si>
    <t>b3cf8a70-2022-f111-8341-000d3a26d493</t>
  </si>
  <si>
    <t>PZh4LlJzeSc7bvtGHzYQgBHYfNl0ZteM4ISwIqq4MGRsYa0RQu8g8GSwWpQFshT9H8PbiaH4vMXUT4AUDNBKmQ==</t>
  </si>
  <si>
    <t xml:space="preserve">Tenneco Sistemas Automotivos Ltda M/A - Master - BR6410773865 </t>
  </si>
  <si>
    <t>Tenneco Sistemas Automotivos Ltda M/A - BR - AirSea - EXPO - GRU_YYZ ESTON - BR-SOM1_001019 - QCPQ00074213</t>
  </si>
  <si>
    <t>CA</t>
  </si>
  <si>
    <t>83f783ca-3459-f111-bec7-6045bd94c1ab</t>
  </si>
  <si>
    <t>/U2y9j++Sv5uEcyagm0gQkA+QKtu8oD5UpeVPX3DFiV7LCbCMGVCGHR7WIEzD4bUSgzupU1T7nHhx5DDwI3bGw==</t>
  </si>
  <si>
    <t>DENTSCARE LTDA M/A - BR - AirSea - spot 208358 e 201850 tr</t>
  </si>
  <si>
    <t>TR</t>
  </si>
  <si>
    <t>34bc58e5-4337-f111-88b4-000d3a254544</t>
  </si>
  <si>
    <t>uHnX2Rv6RKhTdZuoI7rP60xbVEPFPot7xjuyr2+hr4XZNMr43vRHI46SPOuqLlCdjTWSzrv4JUIxoG3xpNQMiw==</t>
  </si>
  <si>
    <t>LB</t>
  </si>
  <si>
    <t>165fc243-934b-f111-bec6-70a8a5a66289</t>
  </si>
  <si>
    <t>GMRn+C0xgjRJ/5BE1jY1OwGdd9r3uppZn1p4FIyS4aW8jJ85l2Q8UVx8VrHZx0Wv5c6qKkW4HLKP/KOq1AVfOw==</t>
  </si>
  <si>
    <t>a6e6a9e5-d7f4-f011-8406-6045bd94cf79</t>
  </si>
  <si>
    <t>N1DEWNVB4dUHNOkeLxTF5gFdbhNmfXRPHSg/4wq/XtmtxTENgomPK03uRx/MQ2laIYgqYJWMeA9tsp6DtgGaGQ==</t>
  </si>
  <si>
    <t>fc8eeb24-00f3-f011-8406-000d3a254045</t>
  </si>
  <si>
    <t>8D9enbooIPcZJRDcQQrcp7ua34c5qrT7pC69hWEAWPviP9dJ+ScrxuolK+tyP4sLyGA8wU2N+qQEELkf2rDf5w==</t>
  </si>
  <si>
    <t xml:space="preserve">OESL AUTOMOTIVE BRASIL LTDA - Main - BR6411225985 </t>
  </si>
  <si>
    <t>OESL AUTOMOTIVE BRASIL LTDA - BR - AirSea - FES - BR/MX - Cargo mistakenly shipped by the exporter – return</t>
  </si>
  <si>
    <t>f44e2f32-8c39-f111-88b4-000d3a254544</t>
  </si>
  <si>
    <t>gWX3kd7LW9+9Jlswkp0VYEXCL2o5lDj8yOOClxrANpCL2jmPGUzcaPggcfhZMM6P4G4/0iAGBXJ5icIHtaXANQ==</t>
  </si>
  <si>
    <t xml:space="preserve">BE8 S/A - Main - BR6413354952 </t>
  </si>
  <si>
    <t>BE8 S/A - BR - AirSea - Expo - Sea - Oslo</t>
  </si>
  <si>
    <t>NO</t>
  </si>
  <si>
    <t>9eacb414-57f1-f011-8406-000d3a2548e6</t>
  </si>
  <si>
    <t>SxkR6EuJGBsyokC08lD7BIXMK2tB03qXy0Ykn/cz5QFNJUy6lax7T4EjLJZns49g70i1gBV45XtEJ4LX2KwSAg==</t>
  </si>
  <si>
    <t xml:space="preserve">LEAR DO BRASIL INDUSTRIA E COM DE INTERIORES AUTOMOTIVOS LTDA - Main - BR6406164265 </t>
  </si>
  <si>
    <t>Monica Conrad</t>
  </si>
  <si>
    <t>LEAR DO BRASIL INDUSTRIA E COM DE INTERIORES AUTOMOTIVOS LTDA - BR - AirSea - *HOT* BID LCL 2026 (Import BR &amp; AR) - RFC 2108257 V2</t>
  </si>
  <si>
    <t>6929a363-57f1-f011-8406-000d3a2548e6</t>
  </si>
  <si>
    <t>ubf3MsGlkZcm1+katsqwmjMj5FOXlyUMde0JZ2b6FcN9vkVZM2V0Rk9de1/7Z8hMM1A19218spS/ZAZJca5V5Q==</t>
  </si>
  <si>
    <t>e5689272-0d14-f111-8406-000d3a254c63</t>
  </si>
  <si>
    <t>t4HDNkr/IohVzUe3AZoJXk+7r14xqzl/c9n2zoMYOgyKwcjrLIKSJ5Aoe4Uz3+RimJucplqwYNy13QFR80CbUQ==</t>
  </si>
  <si>
    <t xml:space="preserve">BAXTER HOSPITALAR LTDA - Main - BR6405697346 </t>
  </si>
  <si>
    <t>BAXTER HOSPITALAR LTDA - BR - AirSea - OX - AIR&amp;SEA - BR-CA</t>
  </si>
  <si>
    <t>4750a474-6424-f111-8341-000d3a254f00</t>
  </si>
  <si>
    <t>aLrtibkIVXjZcPvq8zM7L9cMa0CXO6EFGa1btd44sHDkKCn+dnyUL2q+9nlE/uu0AUn/Gu6PvFxrLM/WlyuBdg==</t>
  </si>
  <si>
    <t xml:space="preserve">WORKSHIP DO BRASIL LTDA - Main - BR6413011371 </t>
  </si>
  <si>
    <t>WORKSHIP DO BRASIL LTDA - BR - AirSea - Broker</t>
  </si>
  <si>
    <t>1fd2c804-d8f2-f011-8406-000d3a254f60</t>
  </si>
  <si>
    <t>wua1Qs8I7YvTBY4cgiIE9v6KpBJIfbgMR1xYm7kojN5X3tHdamveNRcsPDhFBEzqqEfJ8Dnyd8K2iKt17ZURpw==</t>
  </si>
  <si>
    <t xml:space="preserve">Vf do Brasil Ltda - Main - BR6412703484 </t>
  </si>
  <si>
    <t>Vf do Brasil Ltda - BR - AirSea - rodoviario VF 2026</t>
  </si>
  <si>
    <t>Contract Logistics</t>
  </si>
  <si>
    <t>ef6dab57-a25a-f111-bec6-3833c5c75d0a</t>
  </si>
  <si>
    <t>nnxXsXOMK2O7krWi0HeNyk3O0sNb0CJ6mwbA8MMbubvwBKMhvpOxjGdlvMK0zC5yVkirlKVhvg/Q9lv7BIRMAQ==</t>
  </si>
  <si>
    <t>NOURYON PULP AND PERFORMANCE M/A INDUSTRIA QUIMICA LTDA M/A - BR - Air&amp;Sea - FECHAMENTO | NOURYON | MODAL (FIA) | FRA x VCP | QUOTE# QCPQ000773659</t>
  </si>
  <si>
    <t>db72d73a-38eb-f011-8544-6045bd903ad1</t>
  </si>
  <si>
    <t>njFLbUnvxtnlh11dwjAQQypV9tKc49tBxHOrL9riAg5zsBZCmgeMLZVwNeehmnzVnHWCeRaEDlVmdzyY7rG+kA==</t>
  </si>
  <si>
    <t>29fb7f21-e05d-f111-a826-6045bd94c32f</t>
  </si>
  <si>
    <t>QZ0RHRwWiUjvXTprdk79XsaJJoKizo7JkcaM1ya2i4huORopIkw77oQ1Wi39a37m5rGvNKn1bzUO/iv755nYgA==</t>
  </si>
  <si>
    <t xml:space="preserve">BRUNO FIBER TECH EQUIP PARA REFINACAO DE CELULOSE LTDA - Main - BR6408788164 </t>
  </si>
  <si>
    <t>Felipe Tabalipa</t>
  </si>
  <si>
    <t>BRUNO FIBER TECH EQUIP PARA REFINACAO DE CELULOSE LTDA - BR - Air&amp;Sea - BRUNO FIBER TECH - OE LCL BR x FR 8 CBM</t>
  </si>
  <si>
    <t>ecd4caf0-40ef-f011-8406-6045bd94c515</t>
  </si>
  <si>
    <t>mWubrbRsloBo0XDeIZ6vYlyED3gA9dc4u9/rGXUlcg2KoQkkAcizzXbmarA5vAarrshvg4BeXcfc6vu/CyPu7Q==</t>
  </si>
  <si>
    <t xml:space="preserve">Ireks Do Brasil S/A - Main - BR6412365029 </t>
  </si>
  <si>
    <t>Jeimison De Lara</t>
  </si>
  <si>
    <t>DA IREKS Q1</t>
  </si>
  <si>
    <t>23f9505c-42ef-f011-8406-6045bd94c515</t>
  </si>
  <si>
    <t>BsKoXtXbokPT13HcsK2q31FEv8gjsPNuXQLvAuJDKQSsvpiuJdPL2oFOzFjmDZMoEJfAq0Kj0b92ShhPdazy7A==</t>
  </si>
  <si>
    <t xml:space="preserve">LIGHTERA LATAM S.A. - Main - BR6406247352 </t>
  </si>
  <si>
    <t>FIS LCL LIGHTERA TW Q1</t>
  </si>
  <si>
    <t>4b5ce7f8-76f0-f011-8406-6045bd94c8bc</t>
  </si>
  <si>
    <t>TP7teGb8XsBtWChkbDWeZ4mefF76VhdzmPKHSD44glEAKNHy0evk35Gi8LuLK27Dzm0rvQ2VNpohN4a+ZgTmMw==</t>
  </si>
  <si>
    <t xml:space="preserve">UNILEVER BRASIL INDUSTRIAL M/A LTDA - Master - BR6410266970 </t>
  </si>
  <si>
    <t>UNILEVER BRASIL INDUSTRIAL M/A LTDA - BR - AirSea - UNILEVER QSAO00375202/A  // NEW LCL SHIPMENT // FCA // DOW // UNILEVER COTIZACION NUEVO PEDIDIO UL ECUADOR - DOW 4506569679</t>
  </si>
  <si>
    <t>EC</t>
  </si>
  <si>
    <t>c6f67679-5f1b-f111-8341-6045bd94c99e</t>
  </si>
  <si>
    <t>ngJ0dDiT95XEFIuDNd2QtjXywZIddGHMTC3XE1qn4se0ollIGR/0oeJhsRcxp+X4rRGgEa/0lEpV1QD10dCvcw==</t>
  </si>
  <si>
    <t>SOLLIEVO MEDICINA ESPECIALIZADA LTDA - Acc-09349235.</t>
  </si>
  <si>
    <t>Tamara Gaddini</t>
  </si>
  <si>
    <t>*HOT*SOLLIEVO MEDICINA ESPECIALIZADA LTDA - BR - AirSea - SOLLIEVO - CATALAGO DE PRODUTO</t>
  </si>
  <si>
    <t>3afd82f4-4421-f111-8341-6045bd94c9df</t>
  </si>
  <si>
    <t>yl5N6ZU1c6klZ4e6LlTnyqaVgFmFM/jizOUK0RG1hpRBr55vmNT4qKxepkhhZ+kwenTMxqRV7pTdz6aV1iJzpw==</t>
  </si>
  <si>
    <t xml:space="preserve">CLARIANT BRASIL LTDA M/A - Master - BR6412933731 </t>
  </si>
  <si>
    <t>Larissa Camilo</t>
  </si>
  <si>
    <t>CLARIANT BRASIL LTDA M/A - BR - AirSea - Spot Quote | 202602-718 - Cotação de frete exportação - material não perigoso</t>
  </si>
  <si>
    <t>c4e7a387-baeb-f011-8544-7c1e5282ebf7</t>
  </si>
  <si>
    <t>VCE5VrO1pkoClM7Ecs42GE/Jy/feYr510UXP/ClKKosJqzzdDytrU2OP+XvWmTY9nosXO98FsteSGIJnJ52MEA==</t>
  </si>
  <si>
    <t>COMPANHIA BRASILEIRA DE METALURGIA E MINERACAO - BR - AirSea - EXPO TAIWAN</t>
  </si>
  <si>
    <t>a0472c9c-55ea-f011-8406-7ced8d91ca6d</t>
  </si>
  <si>
    <t>ZORCbB3cuGBu1iFjcL9+DfPapbysNcidBogMN6ZhFYDa2s4AJgZGtP6gS+BhP3EFioJ0g3ROtM28a+03gLUgoQ==</t>
  </si>
  <si>
    <t>BORGWARNER BRASIL LTDA M/A - BR - AirSea - Result announcement for BorgWarner 2026 Q1 Air RFQ  Logistics Bidding_EXA</t>
  </si>
  <si>
    <t>a9fcb04a-024b-f111-bec6-6045bd94c67e</t>
  </si>
  <si>
    <t>LPZphcoN1YDhbkEizTUI8jhqu/zbe4B8FqSi5yLktQ9PMyUMDOmP/H085rQOgsHPIjE3Nzz+9Xqf67huZ3+qhw==</t>
  </si>
  <si>
    <t>Paranatex Ind.Textil Ltda - BR - AirSea - FIA BE x BR Q2</t>
  </si>
  <si>
    <t>BE</t>
  </si>
  <si>
    <t>255d5aeb-b7ef-f011-8406-6045bd94ca6d</t>
  </si>
  <si>
    <t>TQZs9NsnWRSpt8Npdw28DTopFzSERCWIEh91MGJRPaM669bAYxP7lqKaPZW8VN2FWfsO44kQ+fETRTCP/yKjRg==</t>
  </si>
  <si>
    <t xml:space="preserve">EPSON DO BRASIL INDUSTRIA E COMERCIO LIMITADA - Main - BR6408968362 </t>
  </si>
  <si>
    <t>*HOT* EPSON DO BRASIL IND IMPO/EXPO - BID FCL 2026</t>
  </si>
  <si>
    <t>Juliana Oliveira</t>
  </si>
  <si>
    <t>77f28bc9-0d05-f111-8406-6045bd94cf79</t>
  </si>
  <si>
    <t>6wG7PzS5zJxsSXzQIR/bUI8lsAbe0mnEsEwlIIv4h2btQnm314vW9SxXYILhtEFMqGcHqQxQMb6OAiso48JqKw==</t>
  </si>
  <si>
    <t xml:space="preserve">G.A. TECNOLOGIA LTDA - Main - BR6412749694 </t>
  </si>
  <si>
    <t>G.A. TECNOLOGIA LTDA - BR - AirSea - SEA PERU</t>
  </si>
  <si>
    <t>d2120813-36eb-f011-8544-7c1e5211d718</t>
  </si>
  <si>
    <t>v6EU9fw+O0yynjzLWBSpZfQZbloWTKJV03OqsIgrRdiseowY5mgNFjmHha1JQcH27CCNYYakcZAeE9Y9Shcbdg==</t>
  </si>
  <si>
    <t>624e958d-0f64-f111-a826-6045bd94ca6d</t>
  </si>
  <si>
    <t>e4EbteyumQBuPxtfg0ypa43il1u2GUd9wwhyqee5xGsvTHysi+r6qPXejxwX0n9a7MwwjvW3aXPjdKXBVsMQJQ==</t>
  </si>
  <si>
    <t>FLODIM DO BRASIL LTDA ME - BR - Air&amp;Sea - FLODIM DO BRASIL LTDA ME</t>
  </si>
  <si>
    <t>fb17c0dd-e81b-f111-8341-6045bd94c32f</t>
  </si>
  <si>
    <t>LOCkmJ43nfaD7EKTVi/j1XCNNlFDG7exs/vSbpi2H3B60MT7owweSmcUF8YgD0L+PWfRQw/e8iCLZmWrdDuk/g==</t>
  </si>
  <si>
    <t xml:space="preserve">KORDSA BRASIL SA - Main - BR6408440921 </t>
  </si>
  <si>
    <t>KORDSA BRASIL SA - BR - AirSea - KORDSA BRASIL SA</t>
  </si>
  <si>
    <t>66fc69f7-2e3b-f111-88b4-6045bd94c9df</t>
  </si>
  <si>
    <t>dcn+Mi6RHmbybC2/0v4E+M65Sgphml8+xOxTU99xKS80eJlPvpIyGF7NeTfI1qdAsNS64eMDxGjIsir3uzDtBA==</t>
  </si>
  <si>
    <t xml:space="preserve">BAKER HUGHES ENERGY TECHNOLOGY DO BRASIL LIMITADA - Main - BR6404724523 </t>
  </si>
  <si>
    <t>BAKER HUGHES ENERGY TECHNOLOGY DO BRASIL LIMITADA - BR - AirSea - BAKER HUGHES ENERGY TECHNOLOGY DO BRASIL LIMITADA - BR - OFR</t>
  </si>
  <si>
    <t>98a75903-fe58-f111-bec7-000d3a254045</t>
  </si>
  <si>
    <t>lxqoRt9OC0etgU8TNJmluqhv0A5Vcy8cng7tRteiC0v7t/LadMs52nQ/k1vsaD5OdmzL5u2FsXGQ2Mcg1150qw==</t>
  </si>
  <si>
    <t>JJGC INDUSTRIA E COMERCIO M/A DE MATERIAIS DENTARIOS S.A - BR - AirSea - ***HOT*** FEA BR/CH - Shipmentt BASEL ( Test)</t>
  </si>
  <si>
    <t>2068269e-e931-f111-88b4-6045bd94c32f</t>
  </si>
  <si>
    <t>aylJQ92gGSC8VSIIvGaRIvtuFnkMEicgJJz1O60cqbxIFT9dmaNQ2zW0w5hEXyqyeLPuqp3VfbsFOPMVAU/KrQ==</t>
  </si>
  <si>
    <t xml:space="preserve">TC MEDIDORES LTDA - Main - BR6410198298 </t>
  </si>
  <si>
    <t>TC MEDIDORES LTDA - FIA CN x BR</t>
  </si>
  <si>
    <t>980ec1ca-da5d-f111-a826-6045bd94c73f</t>
  </si>
  <si>
    <t>eejlulYAJOEt20ZWu+TRZDn8NuwR3EeSOJHuuwUQL4nCHUgr8hXqIJZToJ7xUY4pQ8i81y2CFOQwHUwjzIiASw==</t>
  </si>
  <si>
    <t>11c15855-6158-f111-bec7-6045bd94c840</t>
  </si>
  <si>
    <t>eq1OVXmRnbUwkGzWstKSXqBaOHvlBPLnB719/IG0tmInAzef7Vj8FlLpwB/cgh5LwdrwFnDZNh05jLiwhUMxBg==</t>
  </si>
  <si>
    <t xml:space="preserve">I.V.L. INDUSTRIAS VIEIRA LTDA - Main - BR6409657350 </t>
  </si>
  <si>
    <t>I.V.L. INDUSTRIAS VIEIRA LTDA - BR - AirSea - MARATA ARACAJU</t>
  </si>
  <si>
    <t>15c22d1d-3355-f111-bec6-70a8a5a66289</t>
  </si>
  <si>
    <t>8n6V3cnpi5lWKw769yYLKPfDZWkVHFNpKqP3/OwnTr/14oF1RVvrMwnzrQxT+pQf916ZO75gM3ioj2l01ruc4A==</t>
  </si>
  <si>
    <t xml:space="preserve">FAURECIA AUTOMOTIVE DO BRASIL LTDA m/a - Master - BR6407475345 </t>
  </si>
  <si>
    <t>FAURECIA AUTOMOTIVE DO BRASIL LTDA m/a - BR - AirSea - FEA - BR/DE -XF26050C43</t>
  </si>
  <si>
    <t>fdc47cd2-9bec-f011-8543-7c1e524f7f7a</t>
  </si>
  <si>
    <t>DPTBOG/3ywtxV47ymUeXFd+LrgVAajQ72a74D9qJBSR/uNpu9v9REd5+S7j0Zj4oVdv8lXvAbumN2xiJT2xtew==</t>
  </si>
  <si>
    <t xml:space="preserve">MOBI7 TECNOLOGIA EM MOBILIDADE S.A - Main - BR6411589588 </t>
  </si>
  <si>
    <t>MOBI7 - Impo air HK x BR</t>
  </si>
  <si>
    <t>e64172da-c9ec-f011-8544-7ced8d9725bf</t>
  </si>
  <si>
    <t>pV+ktXmEwealJmt4UfwPsZ9JSm02GouV539M+TIbiCV1oVIq7jDIVeRFqbspqtqgC3PXKv5dgkq6Om9iMluICQ==</t>
  </si>
  <si>
    <t>31a5403b-002d-f111-88b3-6045bd94c6ba</t>
  </si>
  <si>
    <t>zIj+3x6Zd8yxcVRTDNddw50IFPwwOLmEjvwDEI9jA2BmEv/lWUOXi0rVe5YwYPA2nMOaLVrT5Xqz0JRRAshh9Q==</t>
  </si>
  <si>
    <t>GE ENERGIAS RENOVAVEIS LTDA M/A - BR - AirSea - AFR - GRU x SFO - Hardware to Don Pedro</t>
  </si>
  <si>
    <t>e1343883-d4f4-f011-8406-6045bd94cf79</t>
  </si>
  <si>
    <t>7gT7kxQZDO+3PFQuQPOmsBF7qKPfFKDQo91v0BbUK7rRU2XpKPPQGaX6uAIDD3pFxbJeUmj3fRzFSjHu/q0x2A==</t>
  </si>
  <si>
    <t>d308904f-a053-f111-bec7-6045bd94c9df</t>
  </si>
  <si>
    <t>s7duk58hh+m3pNbquTAtee67CYCGtODA6Bit6rCIRVFUnQUaKGXTAmHIPCyw7Mam+hgyCz0u1Zi674uD/RIYtA==</t>
  </si>
  <si>
    <t>Pradotex do Brasil Import e Export Ltda - Acc-09237971.</t>
  </si>
  <si>
    <t>Breno Ramos</t>
  </si>
  <si>
    <t>Pradotex do Brasil Import e Export Ltda - BR - AirSea - Pradotex - Desembaraço Aduaneiro Imp - Entreposto</t>
  </si>
  <si>
    <t>c12f067c-1a61-f111-a826-6045bd94c73f</t>
  </si>
  <si>
    <t>4XkzwSwzQVjfmvabWpljlWjOo9qt3xHr+LAcfIwr7uJ2/9HHcFd3bnHa/3VOEZMoithWrbGmx2mQ1ffXFrLUsA==</t>
  </si>
  <si>
    <t>PBI - AEL SISTEMAS S.A. - BR - Air&amp;Sea - EXP AIR GR X BR</t>
  </si>
  <si>
    <t>GR</t>
  </si>
  <si>
    <t>ed6b3d04-3e10-f111-8406-6045bd94c68f</t>
  </si>
  <si>
    <t>2VBJR/YCXkNZUYue7NnPGlzZH97ocHUokYTqBpvWrnyfnde9D0thZsuqsKdzuG9IHMSSOyX4VA6HJfb4FvUupA==</t>
  </si>
  <si>
    <t xml:space="preserve">W R GRACE BRASIL IND E COM DE PRODUTOS QUIMICOS LTDA - Main - BR6408843538 </t>
  </si>
  <si>
    <t>W R GRACE BRASIL IND E COM DE PRODUTOS QUIMICOS LTDA - BR - AirSea - RFQ FCL 2026</t>
  </si>
  <si>
    <t>VN</t>
  </si>
  <si>
    <t>ebe39d4c-3f08-f111-8406-000d3a2544a1</t>
  </si>
  <si>
    <t>V/NbQ2DuL0/MNlJ0n9p5YcSpWRH4MLMMb8BxvPi90XabCjXIqb1jUeYnNxtXCq58M/znuYkJneAxMac1dLkpzA==</t>
  </si>
  <si>
    <t>ea294e53-6b2c-f111-88b3-000d3a254bcd</t>
  </si>
  <si>
    <t>d0ybnlOTpU8OBnx10YkiJ8Sn+BNvhto6ZHRQ0QFBs6ZiW5NV4/7jkMRM+Ju9G13NWzh82D5xvZCGhAVVYy/9jw==</t>
  </si>
  <si>
    <t xml:space="preserve">IKRO COMPONENTES AUTOMOTIVOS S/A M/A - Master - BR6413427207 </t>
  </si>
  <si>
    <t>*HOT* IKRO COMPONENTES AUTOMOTIVOS LTDA - BR - AirSea - Impo - FCL - Shanghai x Itajaí</t>
  </si>
  <si>
    <t>e21ab14a-70f1-f011-8406-000d3a2fc173</t>
  </si>
  <si>
    <t>OEUyw3fXDrOBptdMSOaRWUEMU+wfmgCZS1JunfqMKg5M1em1dPpw7YPoctdlip8VTNCwycNW78dlKfz/uKMOOg==</t>
  </si>
  <si>
    <t>AMCOR RIGID - FIA US x BR</t>
  </si>
  <si>
    <t>980cfa71-6f49-f111-bec6-0022487edd57</t>
  </si>
  <si>
    <t>9B4jCST5qGZPclsSsnMbvr2fzGtOntBJznFQaqVpCKA56oM32Txm3hC2nwQER0+BUJ1EfCJSmSR5iaLuWp4c7Q==</t>
  </si>
  <si>
    <t xml:space="preserve">FLEXTRONICS DA AMAZONIA LTDA M/A - Master - BR6409498539 </t>
  </si>
  <si>
    <t>FLEXTRONICS DA AMAZONIA LTDA M/A - BR - AirSea - HWA NALA New Lanes</t>
  </si>
  <si>
    <t>37e5bade-5eea-f011-8406-00224881e13c</t>
  </si>
  <si>
    <t>G3vnQOSe10tg0qEPmXtwGoNSbtCAq8srDqtGC8e3qYRWyWT6C9SOhzXlPu3nplmThNPInoBcYSk/OEzBXlnqdg==</t>
  </si>
  <si>
    <t>324fe232-3222-f111-8341-6045bd94c50c</t>
  </si>
  <si>
    <t>oITNn9OfyBAYuSqbaS3q9URMgrrE1R1ucYk0pqcEmRc4a527+zbN4jeq4ik3IMZKash6CHhD8W8w62Bsg+XBjQ==</t>
  </si>
  <si>
    <t xml:space="preserve">Bmd Texteis Ltda - Main - BR6409655432 </t>
  </si>
  <si>
    <t>Bmd Texteis Ltda - BR - AirSea - BMD TEXTEIS</t>
  </si>
  <si>
    <t>69bedf9f-84fc-f011-8406-6045bd94c664</t>
  </si>
  <si>
    <t>+kgtU19Wt2YjMbzEz9F7Ngx+jcPay7jzQowBs/ljCUv6HNqYiFESa3pA2ClVQSt1H15wgMNSkhwLOzVojNrlaQ==</t>
  </si>
  <si>
    <t xml:space="preserve">Odr Importacao e Exportacao Ltda - Main - BR6412359456 </t>
  </si>
  <si>
    <t>Odr Importacao e Exportacao Ltda - BR - AirSea - ORD - Spot quotations  LIS X GRU</t>
  </si>
  <si>
    <t>411b157d-0609-f111-8406-6045bd94c8bc</t>
  </si>
  <si>
    <t>wj0jR5or2MqSKt2H1G/IW+I3uNxkyQOb9ctjs6OJ8hkQmPZEyNsQ8XjlX0qrYYv/7pdHSZeP0Pm2v92dt4gxFA==</t>
  </si>
  <si>
    <t xml:space="preserve">CALAMO DISTRIBUIDORA DE PRODUTOS DE BELEZA S.A. - Main - BR6406585318 </t>
  </si>
  <si>
    <t>FES CÁLAMO ANGOLA</t>
  </si>
  <si>
    <t>171dfd05-0709-f111-8406-6045bd94c8bc</t>
  </si>
  <si>
    <t>gz12+FcGPgWA+lDxqrSYfY95aVkhAJ57F8Le99x3Q0uPRIMAQ/kXei/SkA8oZW+hF15Lww46B0UjvP1dagT2Uw==</t>
  </si>
  <si>
    <t>FES FCL CÁLAMO MOÇAMBIQUE</t>
  </si>
  <si>
    <t>MZ</t>
  </si>
  <si>
    <t>9dba2421-4537-f111-88b3-7ced8d146192</t>
  </si>
  <si>
    <t>//kVWDODkOBA/mcrGHozmIyOsTUU5AmIpPOr7Tnf3dmuAPTAxzvadBvRUmsq4fzgYAbWLJYDRDBPbbs/ruM3NA==</t>
  </si>
  <si>
    <t>d66966fe-8e11-f111-8406-000d3a2544a1</t>
  </si>
  <si>
    <t>2PgDmp/qU9cKuo2tDV3WKNLQw1ccoMNHUkrGiliFcimyXhbG9+rcJuCPJgT8Sgd9mz20QJnDgp+ZdoboEL1WSg==</t>
  </si>
  <si>
    <t>LUXOTTICA BR PR OTICOS ESPORT M/A - BR - AirSea - Export Shipments - Ocean</t>
  </si>
  <si>
    <t>8908fc46-3f0b-f111-8406-000d3a254953</t>
  </si>
  <si>
    <t>TK2zx4SWfZruHyDkInvVMWBILcd8WMgt1crtsnMzZBg5kEKP1SS+l5VKQwwL55B3CzPGFs9kfh6T4Ezi92XaMA==</t>
  </si>
  <si>
    <t xml:space="preserve">CALCADOS PEGADA NORDESTE LTDA - Main - BR6405295912 </t>
  </si>
  <si>
    <t>CALCADOS PEGADA NORDESTE LTDA - BR - AirSea - Air Export (BR x BE)</t>
  </si>
  <si>
    <t>ee96fff4-022a-f111-8341-6045bd94c403</t>
  </si>
  <si>
    <t>rHmGJkT7KRt2UyLUa6hQyNe9d4Xn0MEk5rZByxwFr6d/QqCKkM+gTfjW5/Qzvf/nbm/KrqrTSS/HiEOwTXC8OQ==</t>
  </si>
  <si>
    <t>DETROIT BRASIL LTDA - BR - AirSea - . spot d-1165/02 es</t>
  </si>
  <si>
    <t>2bd726be-dff2-f011-8406-000d3a2684b1</t>
  </si>
  <si>
    <t>Jc1FkeMLhuW+5akAozNxVSUowPvWh5mGjevogkJIAsnOD0iokBKy5bA+z7dfczk/vJwe0euyXNLROcE1QhH/kQ==</t>
  </si>
  <si>
    <t xml:space="preserve">Andritz Brasil Ltda M/A - Master - BR6410279435 </t>
  </si>
  <si>
    <t>Andritz Brasil Ltda M/A - BR - AirSea - FIS CA X BR SPOT QUOTE  4504867091 / QCWB00300512/A</t>
  </si>
  <si>
    <t>fa665b3c-3701-f111-8406-000d3aae682d</t>
  </si>
  <si>
    <t>Vi/0tCG3zd4PDHcX3a2zmZ0D8QP7Us1tHDL8+fz1maJ+Hsn+Hji6Tp42f28bGRq6IytdLjrXM7B2EkqP6/DWsw==</t>
  </si>
  <si>
    <t xml:space="preserve">IBGM - INSTITUTO BRASILEIRO DE GESTAO &amp; MARKETING LTDA - Main - BR6413334463 </t>
  </si>
  <si>
    <t>*HOT* F C TRADING IMPORTADORA M/A &amp; EXPORTADORA EIRELI ON BEHALF OF IBMG - BR - AirSea - TRANSP. RODOVIARIO - GRU X RECIFE -</t>
  </si>
  <si>
    <t>dab8c85e-a753-f111-bec7-6045bd94c32f</t>
  </si>
  <si>
    <t>+4opW+S5rmfKwHdldRuwfbBBReIAdtMmwW4z1SL+A0eHKnx2D6bPF6vEO7T26xWqFLfPZeY3k0Sg4QslIWDN/w==</t>
  </si>
  <si>
    <t>SILICON SOLUCOES EM ILUMINACAO - Acc-04738487.</t>
  </si>
  <si>
    <t>SILICON SOLUCOES EM ILUMINACAO - BR - AirSea - FIS CN x BR Q2</t>
  </si>
  <si>
    <t>f4b6bcdf-6158-f111-bec7-6045bd94c840</t>
  </si>
  <si>
    <t>QY4kdvb6WLRkuepOL02WxUgJGCD6U7qWE7smqpSi6sXpoVXWCfn16WQ+Mc3pjftIyMtAfznO17PxpHt/RkfI7A==</t>
  </si>
  <si>
    <t xml:space="preserve">POSITIVO TECNOLOGIA SA - Main - BR6409656622 </t>
  </si>
  <si>
    <t>POSITIVO TECNOLOGIA SA - BR - AirSea - POSITIVO TECNOLOGIAA</t>
  </si>
  <si>
    <t>c0b9816d-2930-f111-88b4-0022487edd57</t>
  </si>
  <si>
    <t>08KcmCi209pfAvqKkkcYh0yY02lH6jW6C6MDiH3IjqzmAnS3L2KrkqbDXYO+g3NcXo/BCO0Q0YUQjG3zfg56Hw==</t>
  </si>
  <si>
    <t xml:space="preserve">BAKER HUGHES ENERGY TECHNOLOGY DO BRASIL LIMITADA - Acc-02134953. </t>
  </si>
  <si>
    <t>BAKER HUGHES ENERGY TECHNOLOGY DO BRASIL LIMITADA - BR - AirSea - Spots Baker OFSE</t>
  </si>
  <si>
    <t>367179be-f6ea-f011-8544-7c1e5211d718</t>
  </si>
  <si>
    <t>hMzSTX+MUYYQuhKsJ6OxHAqOLbu/Mh5jCqZwtAzHCoAfUFH/Ea1HpzDBNwyOtPx4scvCk6n1nDIaRo+M7NwI8Q==</t>
  </si>
  <si>
    <t>DENTSPLY INDUSTRIA E COMERCIO LIMIT - BR - AirSea - RFQ Sirona Dental Systems GmbH Dentsply AIR 2026</t>
  </si>
  <si>
    <t>52435347-d413-f111-8406-000d3aabb0c5</t>
  </si>
  <si>
    <t>uQTc4C/wGH3EeqnDyYKkw4eN8kn7Zlo+Zrgj8frqsGkzrIaeMnq2TPvsQLA9VxlxRhkvhz3kZg2z46abRKs3wA==</t>
  </si>
  <si>
    <t>FAURECIA AUTOMOTIVE DO BRASIL LTDA m/a - BR - AirSea - FIS - ES/BR - Meler  1x 40'HC Valência x Santos --&gt; SBC</t>
  </si>
  <si>
    <t>3f88ae64-6b3e-f111-88b4-6045bd94c8bc</t>
  </si>
  <si>
    <t>48vtA4r0XAVIDRCDxGiwq3WJUw4s+EIcuRGCfbsqRRWVmeg7VU8zWbiuGCfdYvOfVr6LJNDW9/ogztX/ACd99A==</t>
  </si>
  <si>
    <t xml:space="preserve">HORSE BRASIL S.A - Main - BR6410582198 </t>
  </si>
  <si>
    <t>** HOT** HORSE BRASIL S.A - BR - AirSea - Global Ocean RFQ JP</t>
  </si>
  <si>
    <t>fd7dcf91-fb13-f111-8406-6045bd94c68f</t>
  </si>
  <si>
    <t>9JuX74ZTPz89p5Ouy5rgtJl3iZ3VQFJWzsRkK8LG+pWPgKIbnr2AIQudbVi3tG2nxeNtTPuRJoDPgBNuHZ1mnQ==</t>
  </si>
  <si>
    <t>METSO BRASIL INDUSTRIA E M/A COMERCIO LTDA - BR - AirSea - EMBARQUES AÉREOS</t>
  </si>
  <si>
    <t>1894db36-1461-f111-a826-0022487edd57</t>
  </si>
  <si>
    <t>UnXcGM3LJfrNcQtuXwQMdQ4NY3sOnpomiSCXOq+BmF/s7hP+td5vvG5LkM7sZr8waCvwx1MURDwoL3mWKU1k6w==</t>
  </si>
  <si>
    <t>PBI - AEL SISTEMAS S.A. - BR - Air&amp;Sea - IMP AIR FR X BR</t>
  </si>
  <si>
    <t>0ad489b3-81fb-f011-8406-7c1e5272d731</t>
  </si>
  <si>
    <t>6WHQ1J9i9vaa2ycGipYUy767ZxPDoFWLKoA2svRxehVPiIwKRKuvRS7gVy0SkFqbM1i5mtoejFDpt7B6yFZlDw==</t>
  </si>
  <si>
    <t xml:space="preserve">INSTRON BRASIL EQUIPAMENTOS CIENTIFICOS LTDA - Main - BR6407630769 </t>
  </si>
  <si>
    <t>INSTRON BRASIL EQUIPAMENTOS CIENTIFICOS LTDA - BR - AirSea - FIA CN x BR SPOT QUOTE Blue Skid mate - DSV 000186  //</t>
  </si>
  <si>
    <t>f8b2cd1a-d4f4-f011-8406-000d3a2548e6</t>
  </si>
  <si>
    <t>dKiNWuAw10GHj0Dx0go17Kxlq3SjVQzJF/XuEnyTgQS2O01KJ6/SB6tYjqTOX+lOikbZEDxpd2EkOrBvRvFPsg==</t>
  </si>
  <si>
    <t>fa63f453-6f49-f111-bec6-0022487edd57</t>
  </si>
  <si>
    <t>pD0rBkDW9obmOu8dVAAGqMzqFM38pWvPvs06fMelRefej8Wll05cb4z9ljA4Kdynfz82Fislo50dTFdQWyv++A==</t>
  </si>
  <si>
    <t>HU</t>
  </si>
  <si>
    <t>8e346d54-6a16-f111-8341-6045bd94c6ba</t>
  </si>
  <si>
    <t>fGcWqii6O3G/P9kUwybAImpD+2xdvWrI2TVPCWsaB0DVGVeW72bGl6kpTU6DNoHgYfaOVaLREVI6+llapSPEmA==</t>
  </si>
  <si>
    <t xml:space="preserve">A W FABER CASTELL AMAZONIA S A - Main - BR6404870263 </t>
  </si>
  <si>
    <t>A W FABER CASTELL AMAZONIA S A - BR - AirSea - Air Freight (LSE) from Viracopos Apt / Campinas to Nurnberg via Frankfurt am Main</t>
  </si>
  <si>
    <t>c0d204c2-3f0b-f111-8406-000d3a254953</t>
  </si>
  <si>
    <t>BZPXrKxbrj+pUxLwDS5ii2/otfm90BabDSoRYuE/4ukrSDSwRS9MTW8ed0JXTXH6mbvkUVtCs+ZU0dcFlJxE5A==</t>
  </si>
  <si>
    <t>CALCADOS PEGADA NORDESTE LTDA - BR - AirSea - Air Export (BR x ES)</t>
  </si>
  <si>
    <t>80a91998-5d2c-f111-88b3-6045bd94c4ce</t>
  </si>
  <si>
    <t>D9ufL9Q4zhAkExVBMu7FAgf38nP5jkPhZqZMwfpmAT+zk99mfuJxlOudAJ+k0QgCCXtWIzONkKte81XFHywW7Q==</t>
  </si>
  <si>
    <t xml:space="preserve">CONFEDERACAO BRASILEIRA DE LEVANTAMENTO DE PESOS - Main - BR6409656723 </t>
  </si>
  <si>
    <t>Vanessa Silva</t>
  </si>
  <si>
    <t>CONFEDERACAO BRASILEIRA DE LEVANTAMENTO DE PESOS - BR - AirSea - SPOT FIS FCL LU TO BR</t>
  </si>
  <si>
    <t>LU</t>
  </si>
  <si>
    <t>f85772d7-71f0-f011-8406-6045bd94c4ed</t>
  </si>
  <si>
    <t>rMHZiU5GiKu3FH2rjWbhjmKCFxXcWgvLIYdMYpDteJnb6LZxMrrjNMfLGEVqyFun69ruP2vYV02HYT5ntTQnPA==</t>
  </si>
  <si>
    <t>BORGWARNER BRASIL LTDA M/A - BR - AirSea - Air - Air Freight, From: CA, To: BR - BID</t>
  </si>
  <si>
    <t>6751891c-3221-f111-8341-6045bd94c68f</t>
  </si>
  <si>
    <t>3uGIJqrE2CDxCG4tEWulWqma//dbo1U5/lLPOP7MdgFI9cJUe0b9s2FDrU0W6dujNQdIXBEsVKooPyTPBom2uA==</t>
  </si>
  <si>
    <t>FAURECIA AUTOMOTIVE DO BRASIL LTDA m/a - BR - AirSea - RFQ - FIA - JP/BR</t>
  </si>
  <si>
    <t>JP</t>
  </si>
  <si>
    <t>7556f1e2-3d49-f111-bec6-6045bd94c6ba</t>
  </si>
  <si>
    <t>4vtUufvL1XxkosVi9SRTNRVQEAz2102NVNOrwaRkF0JAn054w/5/KXEF8SSYVzoD9wt2cTGJ8eSh25TjA5/DKw==</t>
  </si>
  <si>
    <t>INSTRON BRASIL EQUIPAMENTOS CIENTIFICOS LTDA - BR - AirSea - FEA BR x US RFQ 2026</t>
  </si>
  <si>
    <t>bcf85dcd-2417-f111-8341-6045bdf498d5</t>
  </si>
  <si>
    <t>tA3pSbdYwbOpvaCFfjgr0v00eMxUt1la/d0ktzd+zd0wSURHelpkhViW3n4cGH3kPrkV49df5JiY26j+5EZzAQ==</t>
  </si>
  <si>
    <t xml:space="preserve">Henkel Ltda M/A - Master - BR6409776505 </t>
  </si>
  <si>
    <t>Henkel Ltda M/A - BR - AirSea - SPOT Quote -PERU - COTAÇÃO SPOT MARITIMA - 1X40 - 20 PALETES - CARGA IMO</t>
  </si>
  <si>
    <t>dcbded3d-5b21-f111-8341-7c1e5229f49f</t>
  </si>
  <si>
    <t>IfOMv4JMsPQkAQhiT+bPw8IC269Asi3x7z07ZDSdQUIeqZLQp4QM/7IQqXSqF3CrtAoLATsP/WgvqXdlSZ7EHw==</t>
  </si>
  <si>
    <t xml:space="preserve">KOMATSU FOREST INDUSTRIA E COM DE MAQUINAS FLORESTAIS LTDA - Main - BR6404930309 </t>
  </si>
  <si>
    <t>KOMATSU FOREST INDUSTRIA E COM DE MAQUINAS FLORESTAIS LTDA - BR - AirSea - RFQ - FIA - CA/UY</t>
  </si>
  <si>
    <t>UY</t>
  </si>
  <si>
    <t>1f52b15f-2c59-f111-bec6-7c1e525191b1</t>
  </si>
  <si>
    <t>Bc04dX+8coxTn7+N3DIfH5NW4upDRBabVki7PLIBcR+0T2v7i8hPiDBgk1JKP+FtfHmZz9VuEMOqEf9cXBLfRg==</t>
  </si>
  <si>
    <t xml:space="preserve">Nestle Brasil Ltda M/A - Master - BR6409155101 </t>
  </si>
  <si>
    <t>Nestle Brasil Ltda M/A - BR - AirSea - FEA - BR x LK - New Spot NESTLEAIRBOT-14121 from Nestle SA | CAS-1834935-B8F6B0</t>
  </si>
  <si>
    <t>LK</t>
  </si>
  <si>
    <t>4ad184af-c9ec-f011-8544-7ced8d9725bf</t>
  </si>
  <si>
    <t>RNOGLFaqWLQiTc6yyvFFyhCHHsMvXBXx5DlN7x9+/G25XlzAJ9G0lYvyLhkICXNnn9ceeUfnbhVv4DbfFBwqkA==</t>
  </si>
  <si>
    <t>8cc82107-3942-f111-88b3-7ced8dc4394d</t>
  </si>
  <si>
    <t>/wqMG/w0jBrBcC0qVe0kBIqQzAEU68YanqdYsT3CgLVMFlzF6+46UHbCZWPAz5O+vXJyfUVHo8VkuCE9KbFAjw==</t>
  </si>
  <si>
    <t xml:space="preserve">ROGERIO ENGEL AGRONEGOCIO LTDA - Main - BR6413042764 </t>
  </si>
  <si>
    <t>*HOT* ROGERIO ENGEL AGRONEGOCIO LTDA - BR - AirSea - Impo - Sea - China</t>
  </si>
  <si>
    <t>d6f81555-ac32-f111-88b4-6045bd94c50c</t>
  </si>
  <si>
    <t>nQ2V0lxnvkSZaZd+OqmfOd26TwEB9zy99WiEokbgudf+MtaC+4eelRTy8Qrb5+AUNrBv3ujlb6FjdeZBskBCAg==</t>
  </si>
  <si>
    <t>DAF CAMINHOES BRASIL INDUSTRIA LTDA - BR - AirSea - FCL - CZ X BR</t>
  </si>
  <si>
    <t>5b54272a-924b-f111-bec6-70a8a5a66289</t>
  </si>
  <si>
    <t>2P4Z87beZ8mL7wEcg2Sf6e4hfcTLNyLFk/lj1SUUCyqEyeXejeRBVPyI+XzaNjGRe+Ge43yxva69zky4RugcUw==</t>
  </si>
  <si>
    <t>665bfe2f-8ef0-f011-8406-6045bd94c67e</t>
  </si>
  <si>
    <t>xRD15+6IUUXIsqyjgjGm0reiRCqeMcNZlbQmQcudDZAljwsqm3uNfQft0JQ92eaHBubl+GqapepR8NUJjPH5+A==</t>
  </si>
  <si>
    <t xml:space="preserve">MTA INDUSTRIA E COMERCIO DE ARTEFATOS DE INOX LTDA - Main - BR6410796103 </t>
  </si>
  <si>
    <t>MTA INDUSTRIA E COMERCIO DE ARTEFATOS DE INOX LTDA - BR - AirSea - ***WON*** BR X DE Q1</t>
  </si>
  <si>
    <t>Projects (Transport)</t>
  </si>
  <si>
    <t>f50d2bee-3d10-f111-8406-7ced8d11977d</t>
  </si>
  <si>
    <t>P+5sFhoFzYDTs7oN1NFBI8Iu9n2RyuHtawkBRNvIEFuqpW0ceju3Eh1lZ7NMg0lVIw9oKdZdIIykclMO2qHVnQ==</t>
  </si>
  <si>
    <t>SV</t>
  </si>
  <si>
    <t>b8bfb002-144b-f111-bec6-6045bd94c73f</t>
  </si>
  <si>
    <t>6XM6mdlQ5PUdJ2cKLFg3kB7MHEWvgPl7BOjPsO0X17zDpydaplH15YcNZx63L9UF7lP34e7/ud5XYMEaB3GaxQ==</t>
  </si>
  <si>
    <t xml:space="preserve">MMCITE BR INDUSTRIA E COMERCIO DE MOBILIARIO URBANO LTDA - Main - BR6413317126 </t>
  </si>
  <si>
    <t>MMCITE BR INDUSTRIA E COMERCIO DE MOBILIARIO URBANO LTDA - BR - AirSea - spot kb04 us</t>
  </si>
  <si>
    <t>d82408f8-7d1c-f111-8341-6045bd94cd49</t>
  </si>
  <si>
    <t>EG/DUhFQ0Z7uc+ttXPmOcTZnwKI39Jf6cHrMalCnxlYSlZvl7gTG3y1/hFd59E1C+HQ7QcWCp7pm6yU2l4sXEQ==</t>
  </si>
  <si>
    <t>DENTSPLY INDUSTRIA E COMERCIO LTDA - BR - AirSea - Impo - AIR-Dentsply Air RFQ 2026</t>
  </si>
  <si>
    <t>452fcafc-be43-f111-88b4-6045bd94c664</t>
  </si>
  <si>
    <t>v+w+MF9wK6GSQM9GhRGA1DPU+dApuc8PVkFmY3ErT0FMy8hFiq5kZtQLlClvAVLqOKipVftrtg58uFkJRPUQSA==</t>
  </si>
  <si>
    <t>MYRE EDITORA COMERCIAL IMPORTADORA  E DISTRIBUIDORA - Acc-09642172.</t>
  </si>
  <si>
    <t>MYRE EDITORA COMERCIAL IMPORTADORA  E DISTRIBUIDORA - BR - AirSea - AIR IMPORT - Greece x BR - MYRE</t>
  </si>
  <si>
    <t>66a0f9bc-7e07-f111-8406-6045bd94cb22</t>
  </si>
  <si>
    <t>Bnzrx3Dos+Af9WHpjK2I0seIYJpcjbD/fw4f7EU7TDZG3rCtL2B02g95nfyvd0Bq9kuGECmScOYWFtCVNG1UYw==</t>
  </si>
  <si>
    <t xml:space="preserve">PFAUDLER LTDA - Main - BR6406212167 </t>
  </si>
  <si>
    <t>Marco Aguiar</t>
  </si>
  <si>
    <t>PFAUDLER LTDA - BR - AirSea - SEA PROJECT EXPORT SANTOS x CANADÁ</t>
  </si>
  <si>
    <t>c869fd72-905a-f111-bec6-000d3a480cfd</t>
  </si>
  <si>
    <t>X8lEj150kUDCJokMU+JC7Mh8zH+vu+iLsqVMEni0SdJ1XSanMbjVKuOoqE02cFNecFRz6oJtrejdKyxxLLeGmg==</t>
  </si>
  <si>
    <t xml:space="preserve">A.R.Z. INDUSTRIA DE LUMINARIAS E ENERGIAS RENOVAVEIS LTDA - Main - BR6413082463 </t>
  </si>
  <si>
    <t>A.R.Z. INDUSTRIA DE LUMINARIAS E ENERGIAS RENOVAVEIS LTDA - BR - Air&amp;Sea - ***WON*** FIS CN x BR Q2</t>
  </si>
  <si>
    <t>401b7c65-a54b-f111-bec7-6045bd94c664</t>
  </si>
  <si>
    <t>SwbyUteuqiU9kBPuQQA2efaZZ62iAPryozlE12+mHRFwM24Oi/6S5L4uYG9y5VOpXL/hc3rVOPm8fOrvADLNTg==</t>
  </si>
  <si>
    <t xml:space="preserve">WABTEC BRASIL FABRICACAO E M/A MANUTENCAO DE EQUIPAMENTOS LTDA - Master - BR6413294313 </t>
  </si>
  <si>
    <t>WABTEC BRASIL FABRICACAO E M/A MANUTENCAO DE EQUIPAMENTOS LTDA - BR - AirSea - Wabtec Spots</t>
  </si>
  <si>
    <t>973fd688-e610-f111-8406-000d3a254999</t>
  </si>
  <si>
    <t>xR3GXgV+nbZbjUd2C2fWCPern63CYEB7gEGa13SM+NpboRX5Ez8C8hZBHv6vvCFLvbzv18HKAPhKn/wWipY2PA==</t>
  </si>
  <si>
    <t xml:space="preserve">Schneider Electric Brasil Ltda M/A - Master - BR6410289979 </t>
  </si>
  <si>
    <t>Grace Hayashida</t>
  </si>
  <si>
    <t>Schneider Electric Brasil Ltda M/A - BR - AirSea - *HOT OPP* - FES BR X CO</t>
  </si>
  <si>
    <t>0b788bef-8f4b-f111-bec6-70a8a5a66289</t>
  </si>
  <si>
    <t>MdD3kGxJYSCMmLkg1i4tcj3Ob1YzXJpH/ZJWeWm7OONG7ELMJU3F9F4JFZOAhIKEYaXdtD8WmRSFLQ3mKizPog==</t>
  </si>
  <si>
    <t>BAKER HUGHES DO BRASIL LTDA - BR - AirSea - BAKER HUGHES DO BRASIL LTDA - BR - AirSea - BID GSA OFR</t>
  </si>
  <si>
    <t>22aafa5f-1361-f111-a825-70a8a55c635e</t>
  </si>
  <si>
    <t>s6kcwqG4p+TcvmaKfw9McZ/IOoNzgjvkACeNqXJ6g38DUrrbyJWntoS5gREPIZhSThMDtKRKSmh9Cq1pWPyvQA==</t>
  </si>
  <si>
    <t>PBI - AEL SISTEMAS S.A. - BR - Air&amp;Sea - IMP AIR SE X BR</t>
  </si>
  <si>
    <t>SE</t>
  </si>
  <si>
    <t>d85f71ae-34f5-f011-8406-000d3a254045</t>
  </si>
  <si>
    <t>bxyEodmHYZ1sqdM6XoWrSymMVOJxBCUc2briCYoOrHnVErI+R5avmKerkbOorRL66uvHLGd1OGVdoOg3fYyb6g==</t>
  </si>
  <si>
    <t xml:space="preserve">HEXION QUIMICA DO BRASIL LTDA - Main - BR6407789734 </t>
  </si>
  <si>
    <t>Hexion - Road BR x UY</t>
  </si>
  <si>
    <t>26a0c17e-db52-f111-bec7-6045bd94c73f</t>
  </si>
  <si>
    <t>2OwhL5sN5oCL3CB0+IZTkbCk5ft2h/HLueKYGml4j7gsdHpzBtt4G783P1xypP1dhuCEWnEzq1Dd43N1iq2jEA==</t>
  </si>
  <si>
    <t>UNIAO QUIMICA FARMACEUTICA NACIONAL S A M/A - BR - AirSea - AIR IMP - CN X BR</t>
  </si>
  <si>
    <t>0dc42b02-d4f4-f011-8406-000d3a2548e6</t>
  </si>
  <si>
    <t>kGBzjMnGDszWyhwByKOwzzSP6fes0YU/H4QztYnOG1T9F5nJgIVQ0r7eSq5SdV9ktXZ4K+3j3ccRoGlhdRW7JQ==</t>
  </si>
  <si>
    <t>91b77c98-64f8-f011-8406-6045bd890446</t>
  </si>
  <si>
    <t>X8Vv2I5hrhy2zxMuBwku73mbNSEX5RpYaGbwVKdM9+uV9dmqnWmiAR08JtFgamWWC8h7jJp5a/r18muh+UOGpQ==</t>
  </si>
  <si>
    <t xml:space="preserve">VERIPOS BRASIL LTDA - Main - BR6409013924 </t>
  </si>
  <si>
    <t>VERIPOS BRASIL LTDA - BR - AirSea - SPOT FIA GB TO BR</t>
  </si>
  <si>
    <t>5292f273-9c24-f111-8341-6045bd94c9df</t>
  </si>
  <si>
    <t>KsYzwiQk2KaQrEuKAqsh6JWBx5scSfaCKv/7lemNCD/PDrps1t91KBvkvj0fFR14/qCvb7FT9FnLtyCArt9+IQ==</t>
  </si>
  <si>
    <t>BAXTER HOSPITALAR LTDA - BR - AirSea - FES - BR x BE</t>
  </si>
  <si>
    <t>b233b8ba-5f0b-f111-8406-6045bd94c9df</t>
  </si>
  <si>
    <t>zXTEtbhQuNodAKvKOzIH2V9WrAeyuI4k+fV1h+z0dP29uZM4Szsqm1kf3XwPP8+cvwLnvYO/hZngXk1LdGSb5Q==</t>
  </si>
  <si>
    <t>LUXOTTICA BR PR OTICOS ESPORT M/A - BR - AirSea - SPOT Lanes - Ocean</t>
  </si>
  <si>
    <t>ec63d608-bc44-f111-88b4-0022487edd57</t>
  </si>
  <si>
    <t>g/bAYPEF/VPROCxwvRiEy+GyrYpqI5+oJqFOjWfe7ODIIn4qBQWUzRaX85HuxZMTXFohS/8B/awkhkqFi43jGQ==</t>
  </si>
  <si>
    <t xml:space="preserve">First S/A M/A - Master - BR6410295212 </t>
  </si>
  <si>
    <t>First S/A M/A - BR - AirSea - spot vm 133 e 134 za</t>
  </si>
  <si>
    <t>0dc44ec8-103f-f111-88b3-7c1e524f002a</t>
  </si>
  <si>
    <t>nOOcEqkEFS3iw3XKjZr6dCk3tycckxqrprVg/UNF2GL0q2nLSQVwGFS4gQE7M3q16XQoQ93BxMxYva1nLxZGyQ==</t>
  </si>
  <si>
    <t>WEIR DO BRASIL LTDA - BR - AirSea - AIR EXP GRU_YUL</t>
  </si>
  <si>
    <t>dd5be677-6821-f111-8341-6045bd94cb22</t>
  </si>
  <si>
    <t>ftusfwAYPUw1oPUdMn937xHDFwkH79oizefGrtJ7flpkxj4NRoz3z5iqRORzvsHTwV7M6I8mfeaN6b+jeHu1aA==</t>
  </si>
  <si>
    <t xml:space="preserve">NEXTRACKER BRASIL LTDA M/A - Master - BR6411021272 </t>
  </si>
  <si>
    <t>NEXTRACKER BRASIL LTDA M/A - BR - AirSea - HNSAP x BRGRU | QUOTE#QCPQ00074077 - DAP Tegucigualpa/HN x Betim/BR -- Email subject: RA6874 - NXBR522</t>
  </si>
  <si>
    <t>HN</t>
  </si>
  <si>
    <t>c88816aa-da60-f111-a826-6045bd94c4ce</t>
  </si>
  <si>
    <t>rgZttMl6KdGxWQhScI+dp3K+lBWBcKeRmd25yc7tdFKe8xETMn7sXHMsNYPtBDB9PS3oyErMpxwO/i1u968LgQ==</t>
  </si>
  <si>
    <t xml:space="preserve">Novozymes Latin America Ltda - Main - BR6404229497 </t>
  </si>
  <si>
    <t>Novozymes Latin America Ltda - BR - Air&amp;Sea - FES - BR/PE - QCWB00304908</t>
  </si>
  <si>
    <t>6dd0bae0-d3f4-f011-8406-000d3a2548e6</t>
  </si>
  <si>
    <t>HBNZdrSa2vhvu4+X1D1/TQAgjZAutRpf15O5TIV8gtDCXUYfD6vk09mSJNMRXZTNOHrNqLI7O8rnUdKBoelrLw==</t>
  </si>
  <si>
    <t>704d1e1d-353b-f111-88b4-000d3a254953</t>
  </si>
  <si>
    <t>KwEwJ15w5PBkrNK3kouWbvUloSOWMu+5nGGRugi/yD3T2Jf/OI+IKhvcKRre6n4V+XQol1+re7adZFF0KojFyQ==</t>
  </si>
  <si>
    <t xml:space="preserve">GE CELMA LTDA M/A - Master - BR6409878989 </t>
  </si>
  <si>
    <t>GE CELMA LTDA M/A - BR - AirSea - Air&amp;Sea - GE CELMA</t>
  </si>
  <si>
    <t>79fd0bd9-fe43-f111-88b4-6045bd94cd49</t>
  </si>
  <si>
    <t>L3GzcgOwZmGbmV1K2dEolCfS4UOCZiwvAnavLHEo49ITRcZHl/rnfTWd9QoNkadgsOsHk6Z7koiUPewaN1Umrg==</t>
  </si>
  <si>
    <t>DAF CAMINHOES BRASIL INDUSTRIA LTDA - BR - AirSea - AIR - NL X BR - 926KG</t>
  </si>
  <si>
    <t>ae543d94-b426-f111-8341-000d3a2544a1</t>
  </si>
  <si>
    <t>TJbzWxAGhNqHJy1k7dvHS/uXMpEYvB/zVSJa8CLpMzQRYflKTDmHoiGdur3hS3PUG8MUIYkyL0bkp79EJLm8dQ==</t>
  </si>
  <si>
    <t xml:space="preserve">Villares Metals S.A - Main - BR6405920307 </t>
  </si>
  <si>
    <t>Villares Metals S.A - BR - AirSea - Spot Quotes Q2 2026</t>
  </si>
  <si>
    <t>c55ec875-bcef-f011-8406-000d3a254a7f</t>
  </si>
  <si>
    <t>o5HwetkV6eLsL2F9C8jBaccSmtjN8PoO3/HOGpThivvnSJmvsQlnkGtEMYoY7Bp8AyNMoWV3/vDWiAjrBOomFQ==</t>
  </si>
  <si>
    <t>*HOT* EPSON DO BRASIL IND-  BID SEA IMPO/EXPO LCL</t>
  </si>
  <si>
    <t>912db2dc-4229-f111-8341-000d3a254c63</t>
  </si>
  <si>
    <t>Z3hQGAhKaSzLBofvbEVbb4V7q8tC5r5jm4/zlo1I1L/hXrV7YR4XFxoHSxABgOZKpxtDN3rpsfy9Dkwmy5JirQ==</t>
  </si>
  <si>
    <t xml:space="preserve">ARJO BRASIL EQUIPAMENTO MEDICOS LTDA - Main - BR6409350691 </t>
  </si>
  <si>
    <t>*HOT* ARJO BRASIL EQUIPAMENTO MEDICOS LTDA - BR - AirSea - CANADA</t>
  </si>
  <si>
    <t>8d124176-bcef-f011-8406-000d3aabb2a1</t>
  </si>
  <si>
    <t>bu+q3esh5Y6IQg2pcxqvlzG1Em25/njQu9pthqEDrhbZMFvFN7xiuEmI3yTYETY28IQOpCSe4xtg4vsvMj9Dqw==</t>
  </si>
  <si>
    <t>84d064e5-3355-f111-bec6-000d3aae88f5</t>
  </si>
  <si>
    <t>IogLLlsIiAbKqiJQrqGPEh+0gs2f55doxxsu7ZSjR9eYRPZMq/rDD415N9VseABeGGln8Hgrlo49TLO90o2mxg==</t>
  </si>
  <si>
    <t xml:space="preserve">Lajes Anhanguera Ind. e Com. Ltda - Main - BR6412362917 </t>
  </si>
  <si>
    <t>Matheus Arrivaben</t>
  </si>
  <si>
    <t>Lajes Anhanguera Ind. e Com. Ltda - BR - AirSea - SPOT PROJETO</t>
  </si>
  <si>
    <t>6557b371-bcef-f011-8406-6045bd94c1e4</t>
  </si>
  <si>
    <t>kRffUAqnniNy4+b/ZvnTgHYoQWhybNzWdoicgGVgifufN1ULq8w1xvA4n7OF7m2QlBAjLNpkP3dvRcbikbnfXA==</t>
  </si>
  <si>
    <t>1c771983-6128-f111-8341-6045bd94c50c</t>
  </si>
  <si>
    <t>rQp1QQtqJseRid2TnTCHOXb17jNhXA+qdZobkMBKiFhdYhxTOL+l5Og/wgoQZEQjqzNHLo2+6Wxr2g4lH+HTpw==</t>
  </si>
  <si>
    <t xml:space="preserve">J2 METALS BRASIL LTDA - Main - BR6410514716 </t>
  </si>
  <si>
    <t>Antonio Mesquita</t>
  </si>
  <si>
    <t>* HOT * - J2 METALS BRASIL LTDA - BR - AirSea - Metal waste -DE</t>
  </si>
  <si>
    <t>Manaus</t>
  </si>
  <si>
    <t>ae777c71-9319-f111-8341-6045bd94c73f</t>
  </si>
  <si>
    <t>sz5n5Is+abX2e8nZ8sYZx6AAiPhiE23WFSXb09cSN1/3W5JTVfy9/WnpF8yJ4Ywq7naCJcvR/E0/0EymxsCWEQ==</t>
  </si>
  <si>
    <t>8a7fd973-bcef-f011-8406-6045bd94c73f</t>
  </si>
  <si>
    <t>eYm5WE4jZJ2J7kPCAKhKRKcTupbCKPOkJhwcD540bnLy3jw6yRksJ+e3CfyqtQd/Y1ulIO24UPhC5ybieRygtw==</t>
  </si>
  <si>
    <t>PA</t>
  </si>
  <si>
    <t>ada6f86c-bcef-f011-8406-6045bd94cb22</t>
  </si>
  <si>
    <t>jH4VFqioEXWfszI8CtxMKFZpPxRDOnxCyW3UIMt3TmhOUXWZrCmKeh7qcBL+2O7QdAGjdK/Aax76Bom0QwJj/g==</t>
  </si>
  <si>
    <t>1077d3e7-424e-f111-bec7-6045bd94cb22</t>
  </si>
  <si>
    <t>9yL3IYNvGnbK+3bWSHvKt5wdikoxaID25sKR0BD3W7jhtEtQxVpR5fDIZHmK4R31JI5A5R5hKJqcjJGMIatxtg==</t>
  </si>
  <si>
    <t xml:space="preserve">HUNTSMAN QUIMICA BRASIL LTDA. M/A - Master - BR6410410339 </t>
  </si>
  <si>
    <t>HUNTSMAN QUIMICA BRASIL LTDA. M/A - BR - AirSea - ***HOT*** SPOT | Cotação AIR | ARADUR HY 2967 BR 25KG Q4E  //  4501359136</t>
  </si>
  <si>
    <t>f0f5df90-0c56-f111-bec7-6045bd94cb22</t>
  </si>
  <si>
    <t>rgLTqVwDWxemxcbGi754DGfzTcobNKKAE+2oeap1Wya0fV9CkaL3l/8Gh2l2VqsG3ahqz45bLvZdQJtTfPkySg==</t>
  </si>
  <si>
    <t xml:space="preserve">ULTERRA DRILLING TECHNOLOGIES M/A BRAZIL LTDA - Master - BR6412687293 </t>
  </si>
  <si>
    <t>ULTERRA DRILLING TECHNOLOGIES M/A BRAZIL LTDA - BR - AirSea - SPOT FEA BR TO US</t>
  </si>
  <si>
    <t>d080b573-bcef-f011-8406-6045bd94cd49</t>
  </si>
  <si>
    <t>3vuCpxaQ5EJPoMi3sJZ6qZVCgOLC1qr5fXFIe2393T4i9oEWyBi48W2S8cs803tbUBOGCQzjnNrpgIQ+fTDnwQ==</t>
  </si>
  <si>
    <t>c45c9548-2555-f111-bec6-70a8a5a66289</t>
  </si>
  <si>
    <t>sbSOfpbMuWEZ64UnU4Uq6y9YfY7RDy8p9HMqtkUxuWJ/k0c6YYWM0jif7Pygjp+QUVWE7sM0GeapRZ6ezeBLUQ==</t>
  </si>
  <si>
    <t>CONTITECH DO BRASIL PRODUTOS AUTOMOTIVOS E INDUSTRIAIS LTDA M/A - BR - AirSea - ROAD - CL/BR - Cotação Rodoviária - Chile - PO 4500187079 - 4500188423 - Importação</t>
  </si>
  <si>
    <t>416b656f-bcef-f011-8406-7c1e525d8474</t>
  </si>
  <si>
    <t>0JMRYrnjaj4/wxfRWHI/iunrXj5iP6fxq/6VKYUdfwlMx3e9fuoEsli6vufpFpezjdC2W9+63ecvfoDisqF0iQ==</t>
  </si>
  <si>
    <t>d3e721cc-5721-f111-8341-7c1e52730c2d</t>
  </si>
  <si>
    <t>FZkoJxDa3vfeVJ0d48Mu6QQ+RfNCRv98LtNmEaWYxZ5/dqoy1fTuyUk6lcmSM+TCoPR8dK75himIY88Gl9TmVQ==</t>
  </si>
  <si>
    <t>KOMATSU FOREST INDUSTRIA E COM DE MAQUINAS FLORESTAIS LTDA - BR - AirSea - RFQ - FIS -  CA/UY</t>
  </si>
  <si>
    <t>0d70c671-bcef-f011-8406-7ced8d11cd3c</t>
  </si>
  <si>
    <t>GMkCXwkBzAChcVzZYibWl+GK3bW9ai0LML9C5fUk5VLkWhGSUIT84kzaEA1V2ldao/rKjQnfa0DlAnodBA3gww==</t>
  </si>
  <si>
    <t>aea06ed0-5637-f111-88b3-7ced8d146192</t>
  </si>
  <si>
    <t>rMaBLoNeetzyzg8WUoeAgyZPc3OM/DGFfET9/5WfxOZO8TeLjfhGeKHTTM27wT/JXwoHUHb8muHSIwm8DJo2OA==</t>
  </si>
  <si>
    <t xml:space="preserve">MTU MAINTENANCE DO BRASIL LTDA - Main - BR6410968496 </t>
  </si>
  <si>
    <t>*HOT* MTU MAINTENANCE DO BRASIL LTDA - BR - AirSea - FIA ARGENTINA</t>
  </si>
  <si>
    <t>Road</t>
  </si>
  <si>
    <t>760d42cb-2830-f111-88b4-0022487edd57</t>
  </si>
  <si>
    <t>eEerO3qaWZwULCET/gpgDILY86bL6pQQ95VyJuhrJKO3fzeMzsvPdVQ+R6vkf7aYTWA0Q5li4aiGwPvjxG5uIw==</t>
  </si>
  <si>
    <t>86981eeb-64ed-f011-8544-7c1e52278d74</t>
  </si>
  <si>
    <t>XbAdatPFU4ohXlT1Ie+Y9s4+Ql0L561ZSonDJ+o4Irq57+Jdjvgt0NmVxas7m4q/5q1ER8ksEL7H7xwWQjpMJA==</t>
  </si>
  <si>
    <t xml:space="preserve">EDGEFY LTDA - Main - BR6409831643 </t>
  </si>
  <si>
    <t>EDGEFY LTDA - BR - AirSea - Rauert - importação Jan-26 // QCPQ00071593</t>
  </si>
  <si>
    <t>386e8f6d-0f61-f111-a826-70a8a564b123</t>
  </si>
  <si>
    <t>5+EOXJ0SSv/T8JcDL5qdgjPFi7BKX2avAK0f2mPCoPqIlxMoyUXhGkz0KKw15Wu+qYokpwvysKuBmYJE2XI1IA==</t>
  </si>
  <si>
    <t xml:space="preserve">GMS COLOMBO COMERCIO DE FRUTAS LTDA - Main - BR6413810699 </t>
  </si>
  <si>
    <t>Marcio Fiori</t>
  </si>
  <si>
    <t>GMS COLOMBO COMERCIO DE FRUTAS LTDA - BR - Air&amp;Sea - ***REEFER*** - GMS - SANTOS x ROTTERDAM - FRESH LIMES</t>
  </si>
  <si>
    <t>aca87d6f-e14a-f111-bec5-000d3a28475e</t>
  </si>
  <si>
    <t>5MrCC0S7TqxJPtecRnJqn/vaXTkgfaNJWdG5tFs4/lRvMx5NinQV+hRDuA2WVoVOCGWvd2zHzuBeS+nZ2Y82Dg==</t>
  </si>
  <si>
    <t xml:space="preserve">MONDELEZ BRASIL LTDA - Main - BR6405548778 </t>
  </si>
  <si>
    <t>MONDELEZ BRASIL LTDA - BR - AirSea - FCL - CH X BR - 01X40' REEFER</t>
  </si>
  <si>
    <t>8bb7c726-4537-f111-88b3-6045bd94c80d</t>
  </si>
  <si>
    <t>t9/bP/4LBYmqpjyCM3ln8nnlMWLAyWX1r+E3MtxwDmMx2s42u0pcMFAlVjnnPY4EghBnUy6WXGaJOkXJO2f1cg==</t>
  </si>
  <si>
    <t>9649d310-c6f7-f011-8406-000d3a254999</t>
  </si>
  <si>
    <t>EqhJ+HMEXkdZjqycg8iuEz008eH7p/hp06dJ/SViT3HMmaROEabGEF+stNVP72w4MrbDmbwIqxZGFr7f+UXAQA==</t>
  </si>
  <si>
    <t xml:space="preserve">CALIBRE SCIENTIFIC BRASIL LTDA - Main - BR6407081412 </t>
  </si>
  <si>
    <t>CALIBRE SCIENTIFIC BRASIL LTDA - BR - AirSea - Impo - Air - Barcelona (DG)</t>
  </si>
  <si>
    <t>99d9d586-fcf5-f011-8406-000d3a254bcd</t>
  </si>
  <si>
    <t>zp+ExkFtKcHZBkRqQsRzOCSAPo4d37XZSXb/C30EPsRgTyIfGDO56gVe/R7f8+7c9T6j5fuDpfuYTcuURrP+xA==</t>
  </si>
  <si>
    <t xml:space="preserve">Cnh Industrial Brasil Ltda M/A - Master - BR6410281230 </t>
  </si>
  <si>
    <t>Cnh Industrial Brasil Ltda M/A - BR - AirSea - FES BR x MX LCL RFQ</t>
  </si>
  <si>
    <t>1fd64722-3df6-f011-8406-6045bd94c6ba</t>
  </si>
  <si>
    <t>xGP5Pyc55GbUQYwm52wv2zAEuYnog4miqeaJ7pjjQDbyUKeBpTDJVXvjaMca2XDBoMm+aMFCH0QJLjQlkM8mCw==</t>
  </si>
  <si>
    <t xml:space="preserve">Grammer do Brasil Ltda - Main - BR6408621248 </t>
  </si>
  <si>
    <t>Grammer - FIA DE x BR</t>
  </si>
  <si>
    <t>2d120a3d-855e-f111-a826-6045bd94cb22</t>
  </si>
  <si>
    <t>7MFpGlgxf13xAcbuZtCDfSwJmQPtdZExTjd+LIDs0ILXfDZ7QO59rf+fa9XYmsUKZhSpe2DPE5ImhbfNOcgtMA==</t>
  </si>
  <si>
    <t xml:space="preserve">IBM BRASIL-INDUSTRIA MAQUINAS M/A E SERVICOS LIMITADA - Master - BR6409401706 </t>
  </si>
  <si>
    <t>IBM BRASIL-INDUSTRIA MAQUINAS M/A E SERVICOS LIMITADA - BR - Air&amp;Sea - BRVCP x GBLHR | QUOTE#QCPQ00077478 - Request GMD007/26</t>
  </si>
  <si>
    <t>83315561-9053-f111-bec7-6045bd94cf79</t>
  </si>
  <si>
    <t>eP18YA8/ZoElhiy8OADOX+HZ6MumUZIQWEWQR851FXvEyfjERse9ew7G6b0/uQ0V3XFfg3JEiG5iWZM7v6PB7Q==</t>
  </si>
  <si>
    <t xml:space="preserve">ASPEN PHARMA INDUSTRIA FARMACEUTICA LTDA - Main - BR6406583385 </t>
  </si>
  <si>
    <t>ASPEN PHARMA INDUSTRIA FARMACEUTICA LTDA - BR - AirSea - SPOT FIA IN TO BR</t>
  </si>
  <si>
    <t>9b2bd042-7437-f111-88b3-6045bd94c73f</t>
  </si>
  <si>
    <t>Z0AkeWJweQLY6abqYa2ImIIkCjGs7FOsb36C2Z0mJxD/BuAQpBDoCaTadgWvRNWf0mxf7vn0nXpzC8HbWPFjZg==</t>
  </si>
  <si>
    <t>IBM BRASIL-INDUSTRIA MAQUINAS M/A E SERVICOS LIMITADA - BR - AirSea - BRGRU x VECCS | QUOTE#QCPQ00075367</t>
  </si>
  <si>
    <t>VE</t>
  </si>
  <si>
    <t>e7ab2ee8-3359-f111-bec7-6045bd94c1ab</t>
  </si>
  <si>
    <t>QnDWn6BMO4eJFnO6Y2Q+Sf1jO4lp7SEvCu+Xon3x8XCF2HA4jpANHSK6FneCgTdv0mze7w/VhWaYQkq98430wA==</t>
  </si>
  <si>
    <t>DETROIT BRASIL LTDA - BR - AirSea - . spot ningbo cn</t>
  </si>
  <si>
    <t>43012fd2-ee26-f111-8341-6045bd94ca6d</t>
  </si>
  <si>
    <t>ZpXNaiycWRrht4p+sS/I35c8LZ4blXtbhdpwEHBGSuzgYRd6uTXnDvxmEAbLwaYUjZVI7JyfBUC7ItWzUhkbyw==</t>
  </si>
  <si>
    <t>UNILEVER BRASIL INDUSTRIAL M/A LTDA - BR - AirSea - HANDOVER QSAO00380775_A &amp; QSAO00380777 // Award Confirmation : 260225-03,954 : Solicitud Aéreo Brasil -PC February Skinbar No.1</t>
  </si>
  <si>
    <t>a606cd03-2b4e-f111-bec7-000d3a25400f</t>
  </si>
  <si>
    <t>CdRBFaZr1X1f6yuswikADSLaxciZK+0awgM6IFAhFiRCkAfezhYmoDSrWD4TQPbLjK/ZTaadGW/xVn6qPxg43g==</t>
  </si>
  <si>
    <t xml:space="preserve">DANFOSS DO BRASIL INDUSTRIA E COMERCIO LTDA - Master - BR6410299912 </t>
  </si>
  <si>
    <t>DANFOSS DO BRASIL INDUSTRIA E COMERCIO LTDA - BR - AirSea - EXPEDITE TOOL #8673 DSV/QMTY00225309</t>
  </si>
  <si>
    <t>a835660c-d9ef-f011-8406-000d3a254476</t>
  </si>
  <si>
    <t>3UiprcORWiG3UXxqp3gnPu6cX849lSopgtlOKp2vCKENlsTmxlPm2woc2aK7eOS/UQPkwcMtKyE/X1txCeDknA==</t>
  </si>
  <si>
    <t>AMCOR RIGID PACKAGING M/A DO BRASIL LTDA - BR - AirSea - FIA CA x BR</t>
  </si>
  <si>
    <t>26f8e9fe-86ed-f011-8544-002248881463</t>
  </si>
  <si>
    <t>U9AcASpFGanXlbuohrvaR5a5JA64/7EV+Hezoe59ZOUJfJxdTV0qy6rYm9gxrpUn0387yjEzyPK3eikvFJZyjw==</t>
  </si>
  <si>
    <t xml:space="preserve">Honda Trading Brasil Ltda M/A - Master - BR6410199263 </t>
  </si>
  <si>
    <t>Honda Trading Brasil Ltda M/A - BR - AirSea - DB Schenker - Tarifário Honda de fretes - Aéreo &amp; Marítimo (Q1/26)</t>
  </si>
  <si>
    <t>e8337d86-3c22-f111-8341-6045bd94c67e</t>
  </si>
  <si>
    <t>wDRL/235DM/KcE7OckYcZB8d8K0a0HcMDmm6GbDO+TEbpUPTP4b2sBSZ4aTFxxTom0X4oSIFtCp3dciPdG24xw==</t>
  </si>
  <si>
    <t xml:space="preserve">Blumimpex Com Internacional Ltda - Main - BR6412444156 </t>
  </si>
  <si>
    <t>Blumimpex Com Internacional Ltda - BR - AirSea - Blumimpex - Spot FCL 10 Teus - GE x BR</t>
  </si>
  <si>
    <t>abf9a372-e51b-f111-8341-6045bd94c99e</t>
  </si>
  <si>
    <t>BFvTxf7/v4j5qzhlYveawn/gmLzRo0qfKuwEq/mTX0qVgouNmpvgqnxBPvIKJ0dMVCh6sDbXepa19L/JiX4p/g==</t>
  </si>
  <si>
    <t xml:space="preserve">GIESECKEDEVRIENT MOBILE SECURITY TCD BRASIL LTDA - Main - BR6410296472 </t>
  </si>
  <si>
    <t>Mayhara Lydia</t>
  </si>
  <si>
    <t>GIESECKEDEVRIENT MOBILE SECURITY TCD BRASIL LTDA - BR - AirSea - br x us *HOT</t>
  </si>
  <si>
    <t>5021168f-324a-f111-bec6-6045bd94cab2</t>
  </si>
  <si>
    <t>xG65zjsWcwcjYfwRweTXpqXdwod4K9sNtP6SfAcoMpANGka4StQ1zTSkStKXaIFT501QiP9NwkpZtDOZUpoEMg==</t>
  </si>
  <si>
    <t xml:space="preserve">BOSSA NOVE COSMETICOS LTDA - Main - BR6412362354 </t>
  </si>
  <si>
    <t>BOSSA NOVE COSMETICOS LTDA - BR - AirSea - BR x BR</t>
  </si>
  <si>
    <t>067e49d1-caec-f011-8544-7ced8d9725bf</t>
  </si>
  <si>
    <t>Af9if2NIvdVhWb+PI3tqG6UsN5B2gW41BPbHvqCOv+0msMHQEK+pGfb3pvmZ6KIgx1eIZdn7Xp6My5kIWf/WDw==</t>
  </si>
  <si>
    <t>592bd57a-37eb-f011-8544-6045bd903ad1</t>
  </si>
  <si>
    <t>sim77t7xml3zezto6mkOaitTnOxaYLHqHjw3Rx+7Bd/cHrapqjExy277MXwIBSVA+om7V6PJaRoQso2rMxEsiQ==</t>
  </si>
  <si>
    <t>55202e9c-c03c-f111-88b3-0022488073b6</t>
  </si>
  <si>
    <t>eDSFIQHzh/DbzvP5wV5uUmqzLiWU3I+jnI0nzmG6IK+AP/GYeCdbR9J2VHizkVE1HhyHpfKbWIU/cwqnzLEEng==</t>
  </si>
  <si>
    <t>ISA ENERGIA BRASIL S.A. - Acc-09197313.</t>
  </si>
  <si>
    <t>AIR IMP - ISA ENERGIA BRASIL S.A. - BR - AirSea - AIR</t>
  </si>
  <si>
    <t>8fb6d20c-763e-f111-88b4-7c1e5226d470</t>
  </si>
  <si>
    <t>OP4wwu3rPRae64Q6x/2iQ9+QHBY6QGbJAbdHAsDN3ueq0NzvUf7Kg0/ClCJ1HWXxVxbLBZ7u+47BuWo9onVaKw==</t>
  </si>
  <si>
    <t xml:space="preserve">FLEXTRONICS INTERNATIONAL M/A TECNOLOGIA LTDA - Master - BR6409411894 </t>
  </si>
  <si>
    <t>FLEXTRONICS INTERNATIONAL M/A TECNOLOGIA LTDA - BR - AirSea - BGSOF x VCP | QUOTE#  QCPQ00075500/A  35902  Commercial Inv  260122009</t>
  </si>
  <si>
    <t>BG</t>
  </si>
  <si>
    <t>124ff6a0-11f3-f011-8406-000d3a254bcd</t>
  </si>
  <si>
    <t>ftvQSGWIx8m+6EneC+JN2Mqscl3JKakI2BuM/GT1FtWvIjc6MLZIC82VxFprcB1ZGQtXsWsGc8AHpsKWwgru+w==</t>
  </si>
  <si>
    <t xml:space="preserve">ABBOTT LABORATORIOS DO BRASIL M/A LTDA - Master - BR6406607734 </t>
  </si>
  <si>
    <t>Marilia Caetano</t>
  </si>
  <si>
    <t>ABBOTT LABORATORIOS DO BRASIL M/A LTDA - BR - AirSea - Spot FCL Australia x BR</t>
  </si>
  <si>
    <t>AU</t>
  </si>
  <si>
    <t>e8d0edb6-d244-f111-88b4-6045bd94c1ab</t>
  </si>
  <si>
    <t>g+1iLyUuGiaMyxTVElNnY4DIQLiGbwJYlyp/eAq1wyPtIQuGYUgwDnuwcQgo0bGPRLqj3ahBNjxoeMsCeMYUJg==</t>
  </si>
  <si>
    <t>STAHL BRASIL SA M/A - BR - AirSea - Air Import (FIA) NL x BR</t>
  </si>
  <si>
    <t>778e0876-e508-f111-8406-6045bd94cf79</t>
  </si>
  <si>
    <t>nigUCbqZG0af9jkX0QW6chQ8dT/fFF38H7GmUH5G1scrpaL45tcacw9DTjMzWw4Wz0GGdhXttjDa6L5S9XQkOA==</t>
  </si>
  <si>
    <t xml:space="preserve">Abbvie Farmaceutica Ltda M/A - Master - BR6410607012 </t>
  </si>
  <si>
    <t>Abbvie Farmaceutica Ltda M/A - BR - AirSea - Air Export BR x ZA - Spot</t>
  </si>
  <si>
    <t>1899c563-6954-f111-bec7-7c1e52730c2d</t>
  </si>
  <si>
    <t>YXXlB3cbBFPEVK3MC/J9rq2U9VIgT9BWIbFIl1vHHxBFZSoWScqIdAHr9E8BUkTowdh+Ad6bmF0y7txtUdyizA==</t>
  </si>
  <si>
    <t>JJGC INDUSTRIA E COMERCIO M/A DE MATERIAIS DENTARIOS S.A - BR - AirSea - FIS - IT;BR - Modula  PO4515932801 / FCL</t>
  </si>
  <si>
    <t>0feaee8b-f5f6-f011-8406-7c1e524e02d9</t>
  </si>
  <si>
    <t>9N0+3PcYH5IvLprG5hA7VzABMiGyImqGbmoHpjHQy5A06HUQoLOgWQbaiAzZhEO05Oyk9MmNHlm/bWad8fyhkg==</t>
  </si>
  <si>
    <t xml:space="preserve">ITACEL FARMOQUIMICA LTDA - Main - BR6408929289 </t>
  </si>
  <si>
    <t>ITACEL FARMOQUIMICA LTDA - BR - AirSea - Spot BR x CA</t>
  </si>
  <si>
    <t>59aeb1e3-f560-f111-a826-6045bd94c32f</t>
  </si>
  <si>
    <t>ACUum+XSlDZAAAtPHQFtpM1IprInKF7v5/gvKTU1p4mrLBkpxX8WRP1TXT5G9KJFvtMZADBgC9qJjHY+tlHX6g==</t>
  </si>
  <si>
    <t xml:space="preserve">SCHOTT PHARMA M/A BRASIL LTDA - Master - BR6413236996 </t>
  </si>
  <si>
    <t>SCHOTT PHARMA M/A BRASIL LTDA - BR - Air&amp;Sea - SPOT QUOTE - SEA - Q2/2026</t>
  </si>
  <si>
    <t>ID</t>
  </si>
  <si>
    <t>58752dd9-663e-f111-88b4-6045bd94c840</t>
  </si>
  <si>
    <t>tjJYV9SyPDwFsdLxRFB8DxLaLI/MbfIOblzINE0fNRJ2WfhjUgbHdlVuoxwbzWNhQBiCRQNA9MTNqfP5xmCKvg==</t>
  </si>
  <si>
    <t xml:space="preserve">DAYCO POWER TRANSMISSION LTDA - Main - BR6406608977 </t>
  </si>
  <si>
    <t>DAYCO POWER TRANSMISSION LTDA - BR - AirSea - SEA IMPO Official launch for Dayco, LLC Dayco, LLC</t>
  </si>
  <si>
    <t>7c9c0d05-3fea-f011-8544-7c1e5261c80c</t>
  </si>
  <si>
    <t>XQOqi1UwrFfarWCbLDHBXVP1sT69eWbtOUf/1lMFc3O63HSrb/b2jWYoaJ7tJgnBXGKtpxn4jySz1v+wE7LXzw==</t>
  </si>
  <si>
    <t>122ff038-6a49-f111-bec6-6045bd94c67e</t>
  </si>
  <si>
    <t>+luSBxYkkgeI+G/dNOmFAe3Y6tPXIQtS6TnxmSL/wXR5sRm18wbMhAgj4dB6VK+27NgqFx9Phhj54sRwOD0nEw==</t>
  </si>
  <si>
    <t xml:space="preserve">VOLKSWAGEN TRUCK &amp; BUS INDUSTRIA E COMERCIO DE VEICULOS LTDA - Main - BR6404206762 </t>
  </si>
  <si>
    <t>***P01*** VOLKS: SIMULAÇÂO DE ESTUFAGEM DE VANS - RESENDE RJ</t>
  </si>
  <si>
    <t>3efc4331-eb55-f111-bec7-0022488bb720</t>
  </si>
  <si>
    <t>wX+WAioX66OEszCC/aXFmNFgu1AvcKXcwlzyvO8dZDBkU8Bs06oQAAmqCSKpRqiQN2+9Jd1K6MomBzwyGp+yTA==</t>
  </si>
  <si>
    <t xml:space="preserve">Scholle Ltda - Main - BR6409427770 </t>
  </si>
  <si>
    <t>Scholle Ltda - BR - AirSea - AIR - CN X BR - 4896KG</t>
  </si>
  <si>
    <t>814e55f6-fb55-f111-bec7-0022488bb720</t>
  </si>
  <si>
    <t>4SEO2XCUOyOdZjSM6d70gCdt3/VFtnN7G9N8y3dI13ZirB+qZmg2UutsC8ENq8ibpH0AJUQwzxrImOo/3PB61A==</t>
  </si>
  <si>
    <t>152fe1ec-2622-f111-8341-000d3a254045</t>
  </si>
  <si>
    <t>3aXsmhwefAdX5TVYSuqwmU/rwQUR2urpZCCY3vlKKp4ch1Db3q6efbWoRxdIwgkGDKCi7TomDjZd3ZIMsj2iFQ==</t>
  </si>
  <si>
    <t>ULTERRA DRILLING TECHNOLOGIES M/A BRAZIL LTDA - BR - AirSea - SPOT FES LCL BR TO US</t>
  </si>
  <si>
    <t>c2298b84-70fc-f011-8406-000d3a254544</t>
  </si>
  <si>
    <t>Br8uJA7ZDpZnhvcIxMxzbRV2ex6M+GHnoKWIinntXR2ai33iq8MYMTay6zo0s2WN4FJ81TR1G+U2YcdA2cWIbQ==</t>
  </si>
  <si>
    <t>UNILEVER BRASIL INDUSTRIAL M/A LTDA - BR - AirSea - URGENT Unilever spot quote: 145-A-260116-03,721 RO-BR DTP-AIR | CAS-1525615-X5Z1P6</t>
  </si>
  <si>
    <t>3afa140b-58f1-f011-8406-000d3a2548e6</t>
  </si>
  <si>
    <t>YCijX3i4B5cJt+sNRqUq0ltpS9u2+CrmdGlgJRMDNw/5RXkPbb6LgV/RGyHZI+6ZiUJLK735CPE/HYVcS4E7JA==</t>
  </si>
  <si>
    <t>fb7a3876-58f1-f011-8406-000d3a2548e6</t>
  </si>
  <si>
    <t>C/tfIg/vgkE3HvhdjBlqTkNH8HYn4hRH6fvwmOE4fAcQ3addXCUOK6m/eA+EZJ0dH7MJ5/LjW33ku1FtkWc2BQ==</t>
  </si>
  <si>
    <t>7f3cf3d4-e829-f111-8341-0022487edd57</t>
  </si>
  <si>
    <t>N/daJc0ttNJluM6vU2b0/9ZtPMBLy361k2GI2uGlSczEVHI9Or9I4EvByZX0jRbl3rOPYBxhdyyO/8pl90keFQ==</t>
  </si>
  <si>
    <t xml:space="preserve">CONTEUDO COMERCIO E SERVICOS LTDA - Main - BR6413401151 </t>
  </si>
  <si>
    <t>CONTEUDO COMERCIO E SERVICOS LTDA - BR - AirSea - AIR SPOTS</t>
  </si>
  <si>
    <t>3f3fc631-8a32-f111-88b4-0022488bb720</t>
  </si>
  <si>
    <t>livMikk0/jtB81OFrHwN/fROR+cMNdozc1XUI8zKMqxx+YMi/j9Fu2tpUrlbGWIN1lJzvHbq27RqNq3gHqgniQ==</t>
  </si>
  <si>
    <t>ba598d67-c102-f111-8406-6045bd94c32f</t>
  </si>
  <si>
    <t>bXLTnp6/U6t12ImQQH0aRUVloVAAysmKRIpGocJ11Xa9n9ZT5L+s7dxZtvwrUN9d7HBk+el5wJD9itfnBWEfXQ==</t>
  </si>
  <si>
    <t>Villares Metals S.A - BR - AirSea - Spot Shipments Feb 2026</t>
  </si>
  <si>
    <t>418f2163-0a0d-f111-8406-6045bd94c403</t>
  </si>
  <si>
    <t>LeRh0Yl67ZPTg4hXw03/fzNp/CjUDijjpFHbt1yzzX9YtPD29RdOY12YvU1VhdzwJBzit5jx1neDcE7l3EfFPA==</t>
  </si>
  <si>
    <t xml:space="preserve">Lavrasul Compensados Ltda - Acc-00169697. </t>
  </si>
  <si>
    <t>Milena Panichi</t>
  </si>
  <si>
    <t>Lavrasul Compensados Ltda - BR - AirSea - ** COMM ** Lavrasul - March/26</t>
  </si>
  <si>
    <t>U.S. Dollar</t>
  </si>
  <si>
    <t>f37d8b68-161c-f111-8341-6045bd94c515</t>
  </si>
  <si>
    <t>YUieoJJHnZYDxpnBeL8HcbtVzujzLyXV4fW/VJhLimBMEJFqT4XUrg7odW217gFlKdxUwekQ1+kRWt9s/4I/xQ==</t>
  </si>
  <si>
    <t xml:space="preserve">ACUSTICA TECHNOAUDIO COM E SERVICOS LTDA. - Main - BR6410282243 </t>
  </si>
  <si>
    <t>ACUSTICA TECHNOAUDIO COM E SERVICOS LTDA. - BR - AirSea - CN x BR SEA 1</t>
  </si>
  <si>
    <t>0f38f351-3cef-f011-8406-6045bd94c515</t>
  </si>
  <si>
    <t>6dIPEpCauillDtEuGFbyqgmOGHumkRWy8lZRwZ4kE3wdg7Cks7UQSEFkHZf6QN0IQxwdbt9CXeRPK6hR3aeCYQ==</t>
  </si>
  <si>
    <t>FIS FCL IREKS DE Q1</t>
  </si>
  <si>
    <t>a0758228-b723-f111-8341-6045bd94c67e</t>
  </si>
  <si>
    <t>XSX6hmAtgcuCsDt1bEp3gQEpEbSiBWNZBISq3JYbBLLc+CRZJDMQV4uvul/FBlonIUIQgD5fNX85+Z15/WAkbw==</t>
  </si>
  <si>
    <t xml:space="preserve">Spice Industria Quimica Ltda M/A - Master - BR6410399725 </t>
  </si>
  <si>
    <t>SPICE/ARCHROMA - SPOT BR x MX = AIR</t>
  </si>
  <si>
    <t>038c6eb2-0848-f111-bec6-6045bd94c73f</t>
  </si>
  <si>
    <t>xddycsUkNDrvnMOzLZAyxmdY8kSXm63flHrT0y4Gtvm/aDPDbDLF2YRnxNHSGyauvvT3aV1lE/EN0UN/DLhfsQ==</t>
  </si>
  <si>
    <t xml:space="preserve">Industria e Comercio de Cosmeticos Natura Ltda - Master - BR6410282598 </t>
  </si>
  <si>
    <t>Raquel Souza</t>
  </si>
  <si>
    <t>Industria e Comercio de Cosmeticos Natura Ltda - BR - AirSea - NATURA SPOT IMPO PE X BR</t>
  </si>
  <si>
    <t>367f5e81-5c16-f111-8341-7ced8d5e701c</t>
  </si>
  <si>
    <t>DfvI533YqlHmG43ubSn71FZ/LlkxZtdvNeBdiCwBehw1Vkx2II9/z8BXIkjBQN8lrkc9Ybmw2ZEbcjwiS5RYnQ==</t>
  </si>
  <si>
    <t xml:space="preserve">ASSOCIACAO COMUNITARIA DE PROD E COMERCIALIZACAO DO SISAL - Main - BR6407985746 </t>
  </si>
  <si>
    <t>ASSOCIACAO COMUNITARIA DE PROD E COMERCIALIZACAO DO SISAL - BR - AirSea - APPAEBB</t>
  </si>
  <si>
    <t>3d85f0ff-3e4a-f111-bec5-70a8a5a66289</t>
  </si>
  <si>
    <t>FSdoNLVIvE2qkdZPAnN2UVeZTWYfVzZ3KT/s5794wrplT/HixI4QHTq0wmVM0bnq5xii11UOxBR46R93dZ5IkA==</t>
  </si>
  <si>
    <t xml:space="preserve">DELL COMPUTADORES DO BRASIL M/A LTDA - Master - BR6409395246 </t>
  </si>
  <si>
    <t>DELL COMPUTADORES DO BRASIL M/A LTDA - BR - AirSea - BRVCP x HKHKG | QUOTE#QCPQ00075805 - BRAZIL TO HK , BY AIR , EXW TERMS = #RTVIN_DEZ_DELTA DONGGUAN_8377174_25</t>
  </si>
  <si>
    <t>073a79c7-004e-f111-bec7-6045bd94ca6d</t>
  </si>
  <si>
    <t>C77KD1xKZQxRlCf6QpDP39E+McXp5iTKb+uV/I9ie595ffh6xHvBh24px2WABNfNUwo2jlUCC1if0V2nnkfuzQ==</t>
  </si>
  <si>
    <t xml:space="preserve">FEZER INDUSTRIA MECANICA LTDA - Main - BR6408818807 </t>
  </si>
  <si>
    <t>FEZER INDUSTRIA MECANICA LTDA - BR - AirSea - FEZER AI ITALY x Brazil- 2 Tons</t>
  </si>
  <si>
    <t>ee227f94-5bea-f011-8544-7c1e52511788</t>
  </si>
  <si>
    <t>PoNGp61x0FNxsYzpejg/l7tMuhRhhyazDB1I6IohtpRPUrgy9jtLY+v5Az9dMdRxfQ2bDqmQyt/Ltt4tNwknEg==</t>
  </si>
  <si>
    <t xml:space="preserve">YAPP BR FABRICACAO DE TANQUES E RESER  P VEICULOS AUTO LTDA - Main - BR6407320908 </t>
  </si>
  <si>
    <t>YAPP BR FABRICACAO DE TANQUES E RESER  P VEICULOS AUTO LTDA - BR - AirSea - Ocean Import (DE x BR)</t>
  </si>
  <si>
    <t>0911391e-40ea-f011-8544-7c1e5261c80c</t>
  </si>
  <si>
    <t>K5FRNkkV6ENvlvK8rbO/t0O2SfB6g6d4WwmnytSG6YxTQwIYv9U1Jxdgkn+n2vCfQ6jHBYjUBTq44Qic0JqZBA==</t>
  </si>
  <si>
    <t>Honda Trading Brasil Ltda M/A - BR - AirSea - DB Schenker - Tarifário Honda de fretes - Aéreo &amp; Marítimo (Q1/26) sea</t>
  </si>
  <si>
    <t>12478b11-40f5-f011-8406-6045bd94c73f</t>
  </si>
  <si>
    <t>VE2bIyxPyjXbSdOnmvMI6CQGi6zB4Qxh1r77jnbbzuMZ8KSKqqote3GwCPGRWo1RYURrUQpAdqCQIKWjDt1PXw==</t>
  </si>
  <si>
    <t>NEXTRACKER BRASIL LTDA M/A - BR - AirSea - Spot FEA BRxCL</t>
  </si>
  <si>
    <t>aa69ab4c-6b3e-f111-88b4-6045bd94c8bc</t>
  </si>
  <si>
    <t>Zszb3Uqx7uJshwnD8DcSjvMkPLcT6lzWFhxyR1+bLVon47P4nLfaJOXNGif8dtn1KRf8VlzM0QoINWDxgU+q2A==</t>
  </si>
  <si>
    <t>3a5295a6-1661-f111-a826-0022487edd57</t>
  </si>
  <si>
    <t>1VSCP9UJUCQVZ+1K/GBaeh+8782Xc6DHT5ThZVWVWLF4/tRLwesCeLATM9gVhpUhZG4X+jLs5yyhGktcL9aQvg==</t>
  </si>
  <si>
    <t>PBI - AEL SISTEMAS S.A. - BR - Air&amp;Sea - IMP AIR CA X BR</t>
  </si>
  <si>
    <t>633bfb83-cf59-f111-bec6-3833c5c28dc8</t>
  </si>
  <si>
    <t>CO9Pkc1kde7NHGZe4mSuYDQS8o4f91JdWUs6heLG8Nht+NF4fP9OfITTEOByClqdGVpAttyfa45+oDafvUQ+LQ==</t>
  </si>
  <si>
    <t>JJGC INDUSTRIA E COMERCIO M/A DE MATERIAIS DENTARIOS S.A - BR - Air&amp;Sea - FIA -CN/BR - ALLIED STAR CONFIRM--PO4516030735 / FCA CWB</t>
  </si>
  <si>
    <t>d6e18784-5a3a-f111-88b4-6045bd94c1ab</t>
  </si>
  <si>
    <t>DL6QJKFgwBGlXIyiAw/TmI1ASzRVmnrThaisb6GLHcX5bfSVsE87OUuybKHR7UeYpFyiFEJCNT6kfCtM9KYCNQ==</t>
  </si>
  <si>
    <t>THALES DIS BRASIL CARTOES E SOLUCOES DE TECNOLOGIA LTDA - BR - AirSea - FEA BR x PE Vunsec New Cloned</t>
  </si>
  <si>
    <t>89dc8091-7237-f111-88b4-6045bd94c515</t>
  </si>
  <si>
    <t>wkdi2pfJXLrHSatYqL9oS+1gib4c++xBZmFK6jCWO2vrCgahkjWvtIXtZG8zMvTjOmo8TxRF4BqcRixXwWKQ/A==</t>
  </si>
  <si>
    <t xml:space="preserve">GEA EQUIPAMENTOS M/A E SOLUCOES LTDA - Master - BR6413516183 </t>
  </si>
  <si>
    <t>GEA EQUIPAMENTOS E SOLUCOES S.A. - BR - AirSea - SPOTS GEA</t>
  </si>
  <si>
    <t>c625ed9d-bceb-f011-8544-7c1e5286271c</t>
  </si>
  <si>
    <t>pcyECI4tcBTKh+cXzGMvbLVwz8EkCbwYCjJ22B3kdKmW1IJc5lEqp9e8xta4ewzEpSRqRNlFRfsy2Z0+jFyQTA==</t>
  </si>
  <si>
    <t xml:space="preserve">LAPP BRASIL LTDA. - Main - BR6411192129 </t>
  </si>
  <si>
    <t>LAPP BRASIL LTDA. - BR - AirSea - REDESTINAÇÃO</t>
  </si>
  <si>
    <t>Parcel Service</t>
  </si>
  <si>
    <t>WW</t>
  </si>
  <si>
    <t>7fec96ad-9b03-f111-8406-000d3a254f00</t>
  </si>
  <si>
    <t>AnUR340KAz2xA9bdWZv+Skc99oU0Dps8PuEG5RyyONPIBbic38MV5G0HIGug/8nOv+EPp0CxPwS7anJkPfoTrQ==</t>
  </si>
  <si>
    <t>NEXTRACKER BRASIL LTDA M/A - BR - AirSea - MODAL FES FCL | BRSSZ x AEJEA | QUOTE# QCPQ00072062/A | REF: SQ RR-1694</t>
  </si>
  <si>
    <t>AE</t>
  </si>
  <si>
    <t>a2319fb6-1761-f111-a826-0022487edd57</t>
  </si>
  <si>
    <t>QUtpw/h3etOmW7n1aRx0qCUeyN2HrDW6gvde+tzWGQrZ8o67unL9XAaHQMaeVONxPK1Euy8/5zsOUanSpBc29g==</t>
  </si>
  <si>
    <t>PBI - AEL SISTEMAS S.A. - BR - Air&amp;Sea - EXP AIR BR X SE</t>
  </si>
  <si>
    <t>2e0477cf-5f0b-f111-8406-6045bd94c9df</t>
  </si>
  <si>
    <t>dynuYGHJQMPIPP5Mh99dW/lD57wws5N8WxzPWh6uCO1iR/PrmaaTHABjHgD/1YnJ6+UE7RbW9vkNFZTy8B0Erw==</t>
  </si>
  <si>
    <t>d9e13d4a-412d-f111-88b3-6045bd94c73f</t>
  </si>
  <si>
    <t>zRCexkgxYn7VCYm46dZGmpKj9jZMHmUuBMk39q5fPcsTYIP4enpJ9tAMiy/f0Oi4oFVJZIVrb+P6+L8Qy56Bpg==</t>
  </si>
  <si>
    <t xml:space="preserve">ABB AUTOMACAO LTDA M/A - Master - BR6411122161 </t>
  </si>
  <si>
    <t>ABB AUTOMACAO LTDA M/A - BR - AirSea - FCA CABREUVA BRASIL - CALLAO PE</t>
  </si>
  <si>
    <t>4eed8d9c-e455-f111-bec6-000d3a45fc84</t>
  </si>
  <si>
    <t>lwslYmT6uFXgIxCC/KvinSpMILKIwvXl8a5lPS9fEcxnzx+FBIQb3D7j9P7unx9gMW2YKxvHKCFHzOfKjylUhg==</t>
  </si>
  <si>
    <t>***P01*** VOLKS: DSV OFFER 20262543 / E26.003-EVC / BRASIL X ALEMANHA - CAMINHÃO VW METEOR 29.530 6X4  PROTÓTIPO - SPRO033-26</t>
  </si>
  <si>
    <t>06ec996f-fc37-f111-88b4-000d3a2548e6</t>
  </si>
  <si>
    <t>zgkBJpCB5uOv0/E24CWmBq3yhB/ezHcr2I+kyRr/qogKy5flh8SiA5iY3WJRFG31K2zdzBJNdVOcjixySk3ugw==</t>
  </si>
  <si>
    <t>Andritz Brasil Ltda M/A - BR - AirSea - FIA CL x BR SPOT QUOTE PO 4504600665 // QCWB00303471</t>
  </si>
  <si>
    <t>91188668-c102-f111-8406-6045bd94c67e</t>
  </si>
  <si>
    <t>CwLVQtY6Em/LGu8ziPIPb1zbcgycLZJbR0MrADfGekJbw1aegHLl1GBnAd1eLx2Qhd3XLMzVUfPrf48FWYZ0pg==</t>
  </si>
  <si>
    <t>ae8a8066-c102-f111-8406-6045bd94ca6d</t>
  </si>
  <si>
    <t>4k8LPamt0t4LI0Kn4pr+mAmzc4fFHbgiSPdxwHVLYybwN5ckTb/djnfCA8tAtWErOcmD1/UP90Rv4mF9TKQwEg==</t>
  </si>
  <si>
    <t>813b7600-1661-f111-a826-0022487edd57</t>
  </si>
  <si>
    <t>v76kWqLSyGZjHtUmckEPJnOBbZBNpqEbHQSmW5ZeRRSWnmHC0ul7+BsWrGHgMAqaESCwEmAOyjti3Tb1AppLbA==</t>
  </si>
  <si>
    <t>PBI - AEL SISTEMAS S.A. - BR - Air&amp;Sea - IMP AIR DE X BR</t>
  </si>
  <si>
    <t>3ca46a6e-bf52-f111-bec7-6045bd94cb22</t>
  </si>
  <si>
    <t>TUoF8rS3emSMk9wkqulV1sieFj0qkNt45hr71Hfd9k8DKIeS/hfb4M3FJeB+nT3OBoGrEkYNIx5TygKasEubzw==</t>
  </si>
  <si>
    <t>CONTITECH DO BRASIL PRODUTOS AUTOMOTIVOS E INDUSTRIAIS LTDA M/A - BR - AirSea - FIA - IN/BR - PO 4500180859</t>
  </si>
  <si>
    <t>6ad77679-4b0b-f111-8406-6045bd94c67e</t>
  </si>
  <si>
    <t>qop1+7MKShxYmkMVq2Jvjqe8TgYlzXVYmLwJyXJpsv+GkXSHwvaKsMfi7hcq8AWHegyP/Qy01MgAjPZ7KfKt5A==</t>
  </si>
  <si>
    <t xml:space="preserve">Brudden Equipamentos Ltda. - Main - BR6404843274 </t>
  </si>
  <si>
    <t>Brudden Equipamentos Ltda. - BR - AirSea - Cotação FIBO 2026</t>
  </si>
  <si>
    <t>4eec7b6b-bcef-f011-8406-6045bd8e0dac</t>
  </si>
  <si>
    <t>3maFW00/dYaqzifUP14PWSI0EV2teaN2nKGRukxEJB0C3mVEtNrgdrqd1qnOk9F/9+ZykuB+sPrTiICzz6ywyQ==</t>
  </si>
  <si>
    <t>d2f21466-f052-f111-bec7-6045bd94c4ce</t>
  </si>
  <si>
    <t>2TYUah8B1nB7QIJp7XNFS6LU3C5xOGe1c6n5Qfqe2mLOkeBxtM5f+TWKmmdGHNYikxLiIsKYWOQMvYUZ9iENJg==</t>
  </si>
  <si>
    <t xml:space="preserve">KIDDE BRASIL LTDA. - Main - BR6406589679 </t>
  </si>
  <si>
    <t>KIDDE BRASIL LTDA. - BR - AirSea - Cotação SPOT - Importação</t>
  </si>
  <si>
    <t>5fb35712-3908-f111-8406-6045bd94c515</t>
  </si>
  <si>
    <t>fbvEArPXgeBYwlabPlUWkZ+pZ0GMfCA/5dUSPrU3FzhF/opxYyfLDnqddNO6ZuKH2DnTmSqAGR9+1aErVksdxQ==</t>
  </si>
  <si>
    <t>FAURECIA AUTOMOTIVE DO BRASIL LTDA m/a - BR - AirSea - FIS - IN - BR</t>
  </si>
  <si>
    <t>129ad183-34f5-f011-8406-6045bd94c6ba</t>
  </si>
  <si>
    <t>sAuY+LUiRjQDatbl8rT4W5rI4csXg/ULaaNzW2uVygM79schrUp9rcU2FMDEruNOEFWy30/4mDJ4Pa/+QBpIaA==</t>
  </si>
  <si>
    <t xml:space="preserve">STARRETT INDUSTRIA E COMERCIO LTDA M/A - Master - BR6411286124 </t>
  </si>
  <si>
    <t>STARRETT INDUSTRIA E COMERCIO LTDA M/A - BR - AirSea - STARRETT INDUSTRIA E COMERCIO LTDA M/A - BR - Solutions - Desembaraço Exportação AIR &amp; SEA</t>
  </si>
  <si>
    <t>94fd3e08-6b3e-f111-88b4-6045bd94c8bc</t>
  </si>
  <si>
    <t>edfdr8d7J4NHbbAuRIqdjk1aoB7Q8/LOjqJVMHPNyJitAU0eGpqRYiaFg8UVRlasNd6z5Ep7q6jKR+64KHs64w==</t>
  </si>
  <si>
    <t>b9e8726d-f14f-f111-bec7-0022488bb720</t>
  </si>
  <si>
    <t>mULcu3Rvsk2pJl0c2CUIfLXSISTrXTkE07JkIgLpjxsRTeMPG+S1SKP58KupIvnl9x42a5KZ3RncjpZ1+8IfHw==</t>
  </si>
  <si>
    <t>LEAR DO BRASIL INDUSTRIA E COM DE INTERIORES AUTOMOTIVOS LTDA - BR - AirSea - Global FCL RFQ 2026 (GOB) v2</t>
  </si>
  <si>
    <t>402ab493-7163-f111-a826-6045bd94c4ce</t>
  </si>
  <si>
    <t>4EPYdXfSGK4xy/sMpHILaPrGclBifP79fagx2hZ1mLoejcWOq6/aolQnsQLk1iZFFQClkPgNOavCZAUiIlYrHw==</t>
  </si>
  <si>
    <t xml:space="preserve">BRASCABOS COMP ELETRIC ELETRON LTDA - Main - BR6406585373 </t>
  </si>
  <si>
    <t>BRASCABOS COMP ELETRIC ELETRON LTDA - BR - Air&amp;Sea - SPOT AIR</t>
  </si>
  <si>
    <t>991bc062-8306-f111-8406-6045bd94c50c</t>
  </si>
  <si>
    <t>0IotdSXGoFQLh1GDK2k2SnKa/+wIgShz04j2H1W9+3+RcGHSOi4sxlivZLtb5EoSDqD4+xxFDsF16CgEmNN15g==</t>
  </si>
  <si>
    <t xml:space="preserve">SOLABIA BIOTECNOLOGICA LTDA - Main - BR6411464054 </t>
  </si>
  <si>
    <t>FIA SOLABIA BE</t>
  </si>
  <si>
    <t>b74e54b6-1514-f111-8406-6045bd94c50c</t>
  </si>
  <si>
    <t>MEJ8WRWHTZfEy+gmdwrTxmmcA7WL4sQD7QqW99XRBJfQrzUVdC/v400zF24RKCXqFbLb9O9yAWAd7rEVokCm0w==</t>
  </si>
  <si>
    <t xml:space="preserve">SISTEMAS DE IDENTIFICACAO ANIMAL LTDA - Main - BR6409041859 </t>
  </si>
  <si>
    <t>SISTEMAS DE IDENTIFICACAO ANIMAL LTDA - BR - AirSea - Spot Export FCL BR x CA</t>
  </si>
  <si>
    <t>281e6dfe-1708-f111-8406-6045bd94c840</t>
  </si>
  <si>
    <t>6FG9hS8d1Sx/esq1qp91e4KEJc96c+PvGuEztPLHcBg5YF/Y0crO4XEy8/t4Z3R5lBrjJ/bdMFqHZOvE9UOyLQ==</t>
  </si>
  <si>
    <t>CATERPILLAR BRASIL LTDA - BR - AirSea - GMM</t>
  </si>
  <si>
    <t>557acdde-2c17-f111-8341-6045bd94cb22</t>
  </si>
  <si>
    <t>E82gwmGBT9ahaRtLNIJOKlmrLEa0HhRUlglCoqMI3HVHCunTio62B5ACorQb3rlYUjovX0tcGOCNWhQvt+UZnA==</t>
  </si>
  <si>
    <t xml:space="preserve">INGREDION BRASIL INGREDIENTES INDUSTRIAIS LTDA - Main - BR6408883270 </t>
  </si>
  <si>
    <t>INGREDION BRASIL INGREDIENTES INDUSTRIAIS LTDA - BR - AirSea - Br x HK</t>
  </si>
  <si>
    <t>b46a5aec-e931-f111-88b4-6045bd94cb22</t>
  </si>
  <si>
    <t>+8jcagFXocn6/WgBR2qy4YgDkwdiMiN7UNiFCDFVtkdGVVpha6YnNt3fLhEix9pDIg2pJnVsWJpWz7dJUF9B7g==</t>
  </si>
  <si>
    <t>cf417b63-4f4a-f111-bec5-7c1e52832699</t>
  </si>
  <si>
    <t>mrHB9eutuEBSGonGhGS3ubQpWPVgwoPQAbSKdqECXM7WF0kXeqAm7XcMFBjdmmf7t/4MomphnbzHsOtMoLvxdQ==</t>
  </si>
  <si>
    <t xml:space="preserve">CLAUDIA MARIA DE PINHO CAMPOS VIDAL - Main - BR6411389670 </t>
  </si>
  <si>
    <t>CLAUDIA MARIA DE PINHO CAMPOS VIDAL - BR - AirSea - SEA SPOTS</t>
  </si>
  <si>
    <t>PL</t>
  </si>
  <si>
    <t>a5516c6f-4f4a-f111-bec5-7c1e52832699</t>
  </si>
  <si>
    <t>LhGX4UOZpp3Ego9YfIxep7rNEvjkosn4f3PgokWxL88zhVvaW+kpG3QTJFA3z21mzLqCJKffWvW8ozZsLFTmMw==</t>
  </si>
  <si>
    <t>133a80fb-0635-f111-88b4-6045bd94c32f</t>
  </si>
  <si>
    <t>s1vombSRn6o8P5Sl/3qmxPKqyo/2wsRSlTde4Tkx2roFOa7DKWhmvDcploJH1HuWc1J9idduaMv1NQ6SwSKlYQ==</t>
  </si>
  <si>
    <t>NEXTRACKER BRASIL LTDA M/A - BR - AirSea - BRVCP x COBOG | QUOTE#QCPQ00074419/A  Enel Col - Guayepo III- Colombia - 267MW    -SO32487 - NXBR527</t>
  </si>
  <si>
    <t>5cdbdac7-2e59-f111-bec7-000d3a254bcd</t>
  </si>
  <si>
    <t>PwZ5K8tckEcvYuBuzRkKgtJQQfXMG5jLcTLh7nIxu7gQVEPzBlKYZGCsI2R2DDJ3GXdDaWlb57DNN5io9nZVBg==</t>
  </si>
  <si>
    <t>Novozymes Latin America Ltda - BR - AirSea ***HOT*** FEA - BR/PE - COTAÇÃO AÉREA | URGENTE | NOVONESIS ARAUCARIA - CHR. HANSEN PERU S.A | SO 52164556</t>
  </si>
  <si>
    <t>4ebdd73c-1661-f111-a826-0022487edd57</t>
  </si>
  <si>
    <t>n6v0xS0y05ki+1sXvi2PlgmbUB5qtuszfxbuzzlBpBoo7N/Elq7fVe6gvzIfAL3+gl1pd1WpRN2KicR22nbizA==</t>
  </si>
  <si>
    <t xml:space="preserve">D.S. COMERCIO DE PRODUTOS AGRICOLAS LTDA - Main - BR6413820116 </t>
  </si>
  <si>
    <t>D.S. COMERCIO DE PRODUTOS AGRICOLAS LTDA - BR - Air&amp;Sea - ***REEFER*** DS - RIO DE JANEIRO x ROTTERDAM - FRESH GINGER</t>
  </si>
  <si>
    <t>5d045ebf-04fe-f011-8406-7ced8d94f93b</t>
  </si>
  <si>
    <t>1EgDu+l1tza4hLLcGi2MnY6zFn/37qXO57FzDgjpyurdB1jsQp0T3mxcElk5qrav487lrCY/59Q+97o0nKnrVA==</t>
  </si>
  <si>
    <t xml:space="preserve">SIG COMBIBLOC DO BRASIL LTDA M/A - Master - BR6411400568 </t>
  </si>
  <si>
    <t>SIG COMBIBLOC DO BRASIL LTDA M/A - BR - AirSea - FCL - TH X BR</t>
  </si>
  <si>
    <t>01a5cd67-69fc-f011-8406-000d3a23ef4a</t>
  </si>
  <si>
    <t>sZp1H4u+PVc/q4lEFaSBf10TlLTiYzdcgqGFbkGaPBSJeuLu8rfx4NBWAJ9MIzdbFs1CvzD3iIyhUe1zIXt7mQ==</t>
  </si>
  <si>
    <t>aed615b2-6d00-f111-8406-000d3a254bcd</t>
  </si>
  <si>
    <t>F1lSmrqE5Tmqi+lvlbhcW7x+FOiASznPvArY9+c0u/6N7goVHdjIiAvk+lLnyA7K/pxcI+LYPjLDzCgJ0mCWUg==</t>
  </si>
  <si>
    <t xml:space="preserve">SOIMPEX S.A. - Main - BR6406591499 </t>
  </si>
  <si>
    <t>*HOT* FIS: IT X BR - SOIMPEX</t>
  </si>
  <si>
    <t>69d25cfc-e808-f111-8406-6045bd94c8bc</t>
  </si>
  <si>
    <t>LQXUsws3cfeufz34Y/HM+uEWtQDUjEZBmrFYgkkpXv7rDwK8YgL9X0q4oKKnVVXUvl9N6VPKGmOG6JGxQMvCag==</t>
  </si>
  <si>
    <t>Abbvie Farmaceutica Ltda M/A - BR - AirSea - RFQ  Ocean  FCL 2026</t>
  </si>
  <si>
    <t>c1254163-6959-f111-bec7-70a8a564b123</t>
  </si>
  <si>
    <t>P7MNXpaVosX4z1bJhG04NxLoqLZXNVRzm4hfs3oyHpeQRsGp3QhpLCnAO74Ztb1YQZ3be6qpxcH0iSG/bzidLQ==</t>
  </si>
  <si>
    <t>Brasmetal Waelzholz S/A.Ind.Com. DO NOT USE - Acc-09239732.</t>
  </si>
  <si>
    <t>Paula Ortiz</t>
  </si>
  <si>
    <t>Brasmetal Waelzholz S/A.Ind.Com. DO NOT USE - BR - AirSea - WAELHOLZ</t>
  </si>
  <si>
    <t>887c84c0-ab53-f111-bec7-000d3a254544</t>
  </si>
  <si>
    <t>shPfC9qRyS14hBQJhbZajBiR23avrpG4QRNYixFq5AWkzxFdLkC4tvv6gkkNY62mWBOYGwp87+RyCg51k4WrXw==</t>
  </si>
  <si>
    <t xml:space="preserve">GELITA DO BRASIL LTDA. - Main - BR6409016138 </t>
  </si>
  <si>
    <t>GELITA DO BRASIL LTDA. - BR - AirSea - SPOTS</t>
  </si>
  <si>
    <t>92705745-3343-f111-88b4-000d3a254f60</t>
  </si>
  <si>
    <t>8fPl7UmIoRO5n1c+ifotBfD+Sa5AykwAHmcdZF774WUqVsIaFmbpeJ1vJ5onNfxQi3cbconBFCG+RypbKXZNPQ==</t>
  </si>
  <si>
    <t xml:space="preserve">MOTO HONDA DA AMAZONIA LTDA - Main - BR6408750480 </t>
  </si>
  <si>
    <t>Sydnei Silva</t>
  </si>
  <si>
    <t>MOTO HONDA DA AMAZONIA LTDA - BR - AirSea - Air shipments from Germany to Manaus</t>
  </si>
  <si>
    <t>b229ce28-044b-f111-bec6-6045bd94c4ce</t>
  </si>
  <si>
    <t>B2crY1KqlE+5/qZEv56skJ2S1N2YeKQwP8F16WtAFp49JXL2X+AJAs/HqkUbf5L7dr3mRYD3TozJAiYKQobkiQ==</t>
  </si>
  <si>
    <t xml:space="preserve">Stabilus Ltda - Main - BR6410631550 </t>
  </si>
  <si>
    <t>Stabilus Ltda - BR - AirSea - IMPORT SPOTS</t>
  </si>
  <si>
    <t>81f32a0c-712c-f111-88b3-6045bd94c515</t>
  </si>
  <si>
    <t>5ESY5e29CI1FN0GR5Adr1NmPuLSJszWxvSeZdCNC1OBEY2JLqsa3+Jfmqng9UQgO8CmPK56vfDtfn+TZjiQsyA==</t>
  </si>
  <si>
    <t>NEXTRACKER BRASIL LTDA M/A - BR - AirSea - BRSSA x USSFO | QUOTE#QCPQ00074904 -  NXBA x Fremont | Amostras SPC 3.0 | ID: FMOUT-20260122NXBA - NXBR534</t>
  </si>
  <si>
    <t>c6b73949-cc18-f111-8341-6045bd94c32f</t>
  </si>
  <si>
    <t>dflFWFPrEJHFsZAM0bp7OcQHDjxMXs/KIY7U2mpVaOpFl+daWRljKC4jU8ees7JLJfE5Y5bL12J9Z34PxWKLuQ==</t>
  </si>
  <si>
    <t xml:space="preserve">ERICSSON TELECOMUNICACOES LTDA M/A - Master - BR6411426392 </t>
  </si>
  <si>
    <t>ERICSSON TELECOMUNICACOES LTDA M/A - BR - AirSea - AIR EXPO EAB QQ 1538</t>
  </si>
  <si>
    <t>JM</t>
  </si>
  <si>
    <t>871838f2-5938-f111-88b3-6045bd94c7ca</t>
  </si>
  <si>
    <t>QZrM8nLcrMwRsgFB4nAU/QTFrZaEDO2cB5h8hxKL0Q3lcisvh+QOT/jS/K2MzsoLQvStjlNRaM10XEyfioKH1A==</t>
  </si>
  <si>
    <t>Schneider Electric Brasil Ltda M/A - BR - AirSea - BID TR X BR</t>
  </si>
  <si>
    <t>24107ab8-9048-f111-bec6-000d3a254999</t>
  </si>
  <si>
    <t>TCNykIbw/cFZF/6A0KmTwrsoegg/wW2DoM97U1ZN/bQ4omC3JyshYjq3OEq3QaxeYhJDqsDtd2s9fbwlMLbngw==</t>
  </si>
  <si>
    <t>KIDDE BRASIL LTDA. - BR - AirSea - BID</t>
  </si>
  <si>
    <t>113096d1-f13c-f111-88b4-6045bd94c31f</t>
  </si>
  <si>
    <t>vVOTQk84FBJ1JOPy/1h9cs74sNInWOaCLxO9mqQ42im89FFOhy6Zl3k6bk1/skYQHnwjeX9Za2vipApOwne0HQ==</t>
  </si>
  <si>
    <t xml:space="preserve">ALLERGAN PRODUTOS M/A FARMACEUTICOS  LTDA. - Master - BR6411389852 </t>
  </si>
  <si>
    <t>ALLERGAN PRODUTOS M/A FARMACEUTICOS  LTDA. - BR - AirSea - Air Spot USA</t>
  </si>
  <si>
    <t>82aa9283-dcfa-f011-8406-6045bd94c9df</t>
  </si>
  <si>
    <t>w5vbAj6l36vypUGV4eXcAXgbMBlK42Hjs+4A7y2BXdUoZxLMV6qO28GOaJZBvcoEmUJWyEpXYVvBNsObD3MzCQ==</t>
  </si>
  <si>
    <t>*HOT* - GELITA DO BRASIL LTDA. - BR - AirSea - RFQ 2026</t>
  </si>
  <si>
    <t>b158567b-032e-f111-88b3-7c1e5226d470</t>
  </si>
  <si>
    <t>FFgqwm1UBCbANPZmSOizeve9s5h9TS2Oi6nqGFpeYs5Xa7LyZry/j64ObSxzEpwFOpz5PWKKXcWck5C81UM71g==</t>
  </si>
  <si>
    <t xml:space="preserve">CRISTALIA PRODUTOS QUIMICOS FARMACEUTICOS LTDA M/A - Master - BR6413370712 </t>
  </si>
  <si>
    <t>CRISTALIA PRODUTOS QUIMICOS FARMACEUTICOS LTDA M/A - BR - AirSea - Air Export</t>
  </si>
  <si>
    <t>5c3046fc-39eb-f011-8544-6045bd903ad1</t>
  </si>
  <si>
    <t>00/rFwoR46AyK53Ms9f4w9mSe60aPyGpyBhwhGxbpnrhqQlq7n8vBHqJG8f+AAIug2iMf/drvIhakK67bAjv/Q==</t>
  </si>
  <si>
    <t>bfde1faf-1453-f111-bec7-70a8a564b123</t>
  </si>
  <si>
    <t>Zna4PHSQHJYFNGA7fkQnQCDTg+E4Lzyx1MLlVfFcFF9BokMke7PIj2uu6q75EI9m/epn/ZJtw/HNORaoF4zvmA==</t>
  </si>
  <si>
    <t xml:space="preserve">VIAPOL LTDA - Main - BR6408039185 </t>
  </si>
  <si>
    <t>VIAPOL LTDA - BR - AirSea - OCEAN IMPORT SHA/SSZ</t>
  </si>
  <si>
    <t>599c8312-d052-f111-bec7-6045bd94c32f</t>
  </si>
  <si>
    <t>1TQ13n/EES5Aq1Zo+A6oaOuwvsaszHJoyzmbGD3dlAfn36R6HEhCTkui5NyTwW7QmoXQ0qQupXFkTT1Ksm3BGA==</t>
  </si>
  <si>
    <t xml:space="preserve">ROBERT BOSCH LTDA M/A - Master - BR6413797801 </t>
  </si>
  <si>
    <t>ROBERT BOSCH LIMITADA - BR - AirSea - ***P01*** Exportacao carrors - 299805</t>
  </si>
  <si>
    <t>53736e4f-7016-f111-8341-6045bd94c6ba</t>
  </si>
  <si>
    <t>vMhNTEFBVu7k0uXyYL12mGyTFk4ksQ7uSmb0GdnqlE87XNn53RoXqq9bp1H3ya9XMvn90NOqmjTr/1tJM4O4Ww==</t>
  </si>
  <si>
    <t xml:space="preserve">Engemasa Eng. e Materiais Ltda - Main - BR6412935206 </t>
  </si>
  <si>
    <t>Engemasa Eng. e Materiais Ltda - BR - AirSea - EMIRATES STEEL / ITP 2754_2025 / PO 5609115137 / Status Report + PL/ Engemasa/ 1 x 40 FR cntr</t>
  </si>
  <si>
    <t>854e5361-212d-f111-88b3-000d3a2544a1</t>
  </si>
  <si>
    <t>iyDbq4+wfm2yCr7uIjCblua14pQcf5JMt0V8Q2Y/vliyVSqwJyL/yXn8Klqwp4wUKv6MD+cDePJ3ZNLhSyXnHA==</t>
  </si>
  <si>
    <t xml:space="preserve">EUROMOBILE INTERIORES S/A M/A - Master - BR6411445409 </t>
  </si>
  <si>
    <t>EUROMOBILE INTERIORES S/A M/A - BR - AirSea - LCL BR x IT</t>
  </si>
  <si>
    <t>1c487238-ab27-f111-8341-000d3a254953</t>
  </si>
  <si>
    <t>jrGeWqJz/rfZPpX8ilAjYOmwmDg20yXlTDKE+DFxbs2N1YLmRdwnokTjTGn5AKTu4lvQypiAcPSBgMDHoEABfw==</t>
  </si>
  <si>
    <t>BRUNING TECNOMETAL LTDA - BR - AirSea - Impo - Air - US</t>
  </si>
  <si>
    <t>be0f97aa-b4f0-f011-8406-000d3a254953</t>
  </si>
  <si>
    <t>ENqAXs8Rs69rsvREFBPMfNAr8eO2K/j/Uu3P7xvAbJ/FMS1SHSQy3850Mds+W9Y+UA57liAnh3vvSBukJtA18g==</t>
  </si>
  <si>
    <t xml:space="preserve">VERSUNI BRASIL LTDA M/A - Master - BR6413356489 </t>
  </si>
  <si>
    <t>Philips Domestic Appliances Do Brasil Ltda. - BR - AirSea - BID LCL - Schenker</t>
  </si>
  <si>
    <t>1a87d710-b5f0-f011-8406-000d3a254953</t>
  </si>
  <si>
    <t>9TTkpMHj82cLaFTxuUcxMi0nZUH/YCT+dHX2IQeGP/0qQ5VUtncXwlOTWDZ48/V3givEN/xe2cY2X7m3bryo0g==</t>
  </si>
  <si>
    <t>c353567a-9502-f111-8406-6045bd94c1ab</t>
  </si>
  <si>
    <t>Iex2zYH7nIedZhWfgtQ5+TXI75GTIl7Kwed1tB01ZicO3NlTw259Mgq0zrPUk4c9u6/BT/rTV56vh/D9pEs8Fw==</t>
  </si>
  <si>
    <t xml:space="preserve">METALAC SPS IND  COM LTDA - Main - BR6405839063 </t>
  </si>
  <si>
    <t>METALAC SPS IND  COM LTDA - BR - AirSea - RFQ GNUTTI CARLO</t>
  </si>
  <si>
    <t>5ec39648-b623-f111-8341-6045bd94c67e</t>
  </si>
  <si>
    <t>e2Q2zMTqwdA09uvuSIY/7t/oMRwOiUFU8p+dC2YYJrC+s41xHVvCoc3jjsZgtsNf8I6ZG/jcBJ1bD/+rIncTXQ==</t>
  </si>
  <si>
    <t>SPICE/ARCHROMA - SPOT IN x BR = AIR</t>
  </si>
  <si>
    <t>da5b286b-712c-f111-88b3-6045bd94c73f</t>
  </si>
  <si>
    <t>6cugzRXgVH7FugZSqc1qA04VymSCZ8YA6zVSUuTDR4oLo7qQUuw323s9T0sN7qEmGcP9yhfoaLI08UZp3ycHNw==</t>
  </si>
  <si>
    <t xml:space="preserve">ASTRAZENECA DO BRASIL LTDA - Main - BR6408480147 </t>
  </si>
  <si>
    <t>ASTRAZENECA DO BRASIL LTDA - BR - AirSea - [ #4459 Sourcify] BR: Result announcement for Astra Zeneca - Acc-03594802 - Sea - Cold Chain Ocean.</t>
  </si>
  <si>
    <t>56e1b2c9-712c-f111-88b3-6045bd94c73f</t>
  </si>
  <si>
    <t>m4iMAjTWOrep7eXTx3jMZvS7h18CHOxYwT0XCaRw1CbWDNFjBaBxu8dJHNNVYrl0TwiAZ8ZVE/eUaWv1b7GpLg==</t>
  </si>
  <si>
    <t>8ac5dced-e452-f111-bec7-6045bd94c840</t>
  </si>
  <si>
    <t>wSi/dYoqbsa6LwWisGmgTCrHJpefEQMB9q+jJZ8QJzmlq6QBXkORH9XKwRRCQz4U6+l7bGXJXfdVsELkU4jGhQ==</t>
  </si>
  <si>
    <t>***HOT***INGREDION BRASIL INGREDIENTES INDUSTRIAIS LTDA - BR - AirSea - BR x ZA</t>
  </si>
  <si>
    <t>5a879289-1b29-f111-8341-70a8a564b123</t>
  </si>
  <si>
    <t>qpsnoyxnUAvkp3IGR7SmIWvRMLtEJ4ofzSWJPUVbpV+sFHfBvi+AxR3QRTlCC++CFKfHhUVvjfWrKaMPYoiRgw==</t>
  </si>
  <si>
    <t>SISTEMAS DE IDENTIFICACAO ANIMAL LTDA - BR - AirSea - Air Spot Export BR x CO</t>
  </si>
  <si>
    <t>26e6578e-6e00-f111-8406-7c1e525085a5</t>
  </si>
  <si>
    <t>obpJmVh6QAZCo2mF91H+Nx7PZ8G+kNbAjoa/48jLiEfk47twazADAsuLUr+2ni5gzIIzhL+76JdCAZKXhqqMug==</t>
  </si>
  <si>
    <t xml:space="preserve">Perkinelmer do Brasil Ltda - Main - BR6410058057 </t>
  </si>
  <si>
    <t>Perkinelmer do Brasil Ltda - BR - AirSea - US X BR</t>
  </si>
  <si>
    <t>8f588869-bcef-f011-8406-000d3a254a7f</t>
  </si>
  <si>
    <t>bJMFPm+u8dxDRy3OnOiF4eChnyvjrnfrJlcyRCdJ4JhgEZAIbLn4EKTXXNRObRSMD1z5wZNa5Y9tcywg8AWkQQ==</t>
  </si>
  <si>
    <t>57adfd67-7337-f111-88b3-6045bd94c73f</t>
  </si>
  <si>
    <t>NH9DlyiIPiemrCFvPpKn9MPXlb0Fg23Ztp6Uo23BzoBC0BZNxEO0w71Ofr7grCA9TlnQsBtqyT9Hblap2zBjNw==</t>
  </si>
  <si>
    <t>NEXTRACKER BRASIL LTDA M/A - BR - AirSea - BRGRU x GRATH | QUOTE#QCPQ00075460 - SO34284 - Terna - Ptolemaida - NXBR541</t>
  </si>
  <si>
    <t>01fb7309-074b-f111-bec6-6045bd94c4ce</t>
  </si>
  <si>
    <t>rDd9WxtYBsyiUHHHbt70DaT7PEpAMBWUZjxzRYgELNQ2HcWr5B2PurkoFcGCaYrxgDDpxTcOEMFF3LSKbCdQYQ==</t>
  </si>
  <si>
    <t>CONTITECH DO BRASIL PRODUTOS AUTOMOTIVOS E INDUSTRIAIS LTDA M/A - BR - AirSea - FES - BR/UY - PROJECT -  Exportação Cliente Corporación Navios - Ordem de Venda 400091278</t>
  </si>
  <si>
    <t>b0b95256-d40c-f111-8406-6045bd94c6ba</t>
  </si>
  <si>
    <t>hp6DeW5VNTgei1ITnbTPLqT+mfyWDHRX4ncpTFl7QwHtpaGsCh1iwRm+ytH5IcjBVXGu78tjQX1RcmF2YPJJEw==</t>
  </si>
  <si>
    <t xml:space="preserve">STARA S/A IND DE IMPLEM AGRICOLAS - Main - BR6405589458 </t>
  </si>
  <si>
    <t>STARA S/A IND DE IMPLEM AGRICOLAS - BR - AirSea - Expo - Air - JOHANNESBURG / South Africa</t>
  </si>
  <si>
    <t>65ea031d-faea-f011-8544-7c1e5211d718</t>
  </si>
  <si>
    <t>PuG067BelerTs2TP+/f9jCbFd6njKpKMC+n3YNmPmu5D3kV9jkthHD+Gnwm8HBI1rZsUnyL6+mIB9RvRpqqjbA==</t>
  </si>
  <si>
    <t>A W FABER CASTELL AMAZONIA S A - BR - AirSea - RFQ from Brazil to France</t>
  </si>
  <si>
    <t>d91522d9-fa17-f111-8341-000d3a2544a1</t>
  </si>
  <si>
    <t>RVp9lFWAP33HPiX5hN69A595M4Q1cBB9qxjYp4MbqXsaYSJwRbWfEpMCzUDwDrR3lh3CNWt2oWBq0BrxXMej2g==</t>
  </si>
  <si>
    <t xml:space="preserve">LEGO DO BRASIL COM E DIST DE BRINQUEDOS LTDA - Main - BR6409065657 </t>
  </si>
  <si>
    <t>*HOT* LEGO SEA FCL/LCL  2026 400TEUS 3rd</t>
  </si>
  <si>
    <t>e883332d-dcfa-f011-8406-6045bd94c9df</t>
  </si>
  <si>
    <t>IACq7i5FhIoTb1M/oJDafW3IgxxN1d/dPME14/5vMKnT1S+SpnUExOGroGcLkW+wcgDYFhJd98dxzFreRJSVJg==</t>
  </si>
  <si>
    <t>e7d03f85-c9ec-f011-8544-7ced8d9725bf</t>
  </si>
  <si>
    <t>aA/45UAkjJm9V1mwPz3E8kmU48lmhl1MU28UeSMpAZXzTf4/1aUq2AKR0wbvfX92X7sL01YufsqFxzA2vKpzIw==</t>
  </si>
  <si>
    <t>5e26efd8-d5f4-f011-8406-6045bd94cf79</t>
  </si>
  <si>
    <t>gsuncL4ykqxfekB9EXc9XF4FewbGvutIUoXOvTVbE1CFHRtUspMPsCCP6/hI6L1D+HcfHj+50Z28vf/UBslYew==</t>
  </si>
  <si>
    <t>926c505a-3ef5-f011-8406-000d3aabb0c5</t>
  </si>
  <si>
    <t>/zWQO7Bzg+xVdIh22h1oSi5jqILTW6u1vp+JmggX/CwPxsGD66/bzq7jx4IpvSuJbIEiGQdyFlfwL8lun47xGg==</t>
  </si>
  <si>
    <t>STARRETT INDUSTRIA E COMERCIO LTDA M/A - BR - AirSea - STARRETT INDUSTRIA E COMERCIO LTDA M/A - BR - Solutions - Desembaraço Exportação AIR &amp; SEA_SEA</t>
  </si>
  <si>
    <t>d79cd3f2-3d10-f111-8406-7c1e525085a5</t>
  </si>
  <si>
    <t>PNQk7oQGm+mPTpyLcz2kFWVUQ/TQElOKP55o5O3idJdCO/T0quRc43bf76Ml7SYPkwWRbB9WzNrAy6MrK9c/Hw==</t>
  </si>
  <si>
    <t>8b61a884-ab53-f111-bec7-000d3a254544</t>
  </si>
  <si>
    <t>Vp1wQwM1F0DZ35YI+nCiQItBR0Bs4CM1QLJCb+djpS1DlGnC8DY2b7AVbGlC06zaekBTFdiJfpY4UN6sNZDpxw==</t>
  </si>
  <si>
    <t>0e14b4d1-bd5e-f111-a826-6045bd94c31f</t>
  </si>
  <si>
    <t>Q2P/q42UyfN3+DmjsPUpaLMFgL4ce5OHJhsEVLuYvuGKqoD+us/7IVXu2W/Bo0dN2CM8psBBVn14QNoFI0MUYQ==</t>
  </si>
  <si>
    <t xml:space="preserve">A100 ROW SERVICOS DE DADOS BRASIL LTDA. M/A - Master - BR6412975316 </t>
  </si>
  <si>
    <t>A100 ROW SERVICOS DE DADOS BRASIL LTDA. M/A - BR - Air&amp;Sea - SpotOceanWUXtoGRUV2230395079 -  FIS CN-BR</t>
  </si>
  <si>
    <t>bd732be0-5c33-f111-88b3-6045bd94c9df</t>
  </si>
  <si>
    <t>fYGCGTu/cPGeF0YH01weTZ/HIEYAiaTX1ZvP+LNnYWAc3UE9mqddD2crlM8pOR5kQdXXxT+EQgCv5/BEgp8oqg==</t>
  </si>
  <si>
    <t xml:space="preserve">RODOPAR FERRAMENTAS PARA MINERACAO E PETROLEO LTDA - Main - BR6413367174 </t>
  </si>
  <si>
    <t>RODOPAR FERRAMENTAS PARA MINERACAO E PETROLEO LTDA - BR - AirSea - RODOPAR FERRAMENTAS PARA MINERACAO E PETROLEO LTDA</t>
  </si>
  <si>
    <t>ce5aeadd-174b-f111-bec6-6045bd94cb22</t>
  </si>
  <si>
    <t>oqWxj8zd5NaT2F150+LuDoPTQLK7ueq2reI2InH1JnDuVb5HwCYHvJqkIa2PenZkYF35m5d1Frg4ZtiNUWqhuQ==</t>
  </si>
  <si>
    <t>BRASCABOS COMP ELETRIC ELETRON LTDA - BR - AirSea - IMPORT SEA SPOTS</t>
  </si>
  <si>
    <t>0b9fba62-cc18-f111-8341-6045bd94c32f</t>
  </si>
  <si>
    <t>/hAOyBe8mTX+WP2aIeWPULGaKcjr9Z9pFNNrTgCcRxFb5i8vo74GYo4uBo79Mpg7WdU5vfmklS6fQ6oI3qdo9A==</t>
  </si>
  <si>
    <t>GY</t>
  </si>
  <si>
    <t>7bf6c672-650b-f111-8406-6045bd94c67e</t>
  </si>
  <si>
    <t>lyumQ/mnQd0poUsiAWiZ0ru7Af6iDTrTP3ZOyU3MwSgVIB15LUj8X4DBgE22agRAZ49w2psxE22zCzKoz1JNGw==</t>
  </si>
  <si>
    <t xml:space="preserve">KILBRA TRADING EQUIPAMENTOS PARA AVICULTURA LTDA - Main - BR6411268275 </t>
  </si>
  <si>
    <t>KILBRA TRADING EQUIPAMENTOS PARA AVICULTURA LTDA - BR - AirSea - 20254200 - FEIRA ATLANTA - IPPE</t>
  </si>
  <si>
    <t>Projects (Contract)</t>
  </si>
  <si>
    <t>ae746291-7d1c-f111-8341-6045bd94cd49</t>
  </si>
  <si>
    <t>YqlCzU161K7uwEpIiAbE46Of6I2C9oPtxW+zLQ1sLH0UZsUnB15s4wh6xK7KQ5Q5X0r4WRqCJKNWeQy5jYy4WA==</t>
  </si>
  <si>
    <t>f223ba36-7e11-f111-8406-000d3a254bcd</t>
  </si>
  <si>
    <t>VUGdE8Ji6H8b8QPrqZ8lNwKSijiaHVPv2Lw1aaVbTlx5l2sTTi0+XZnmAAjelKpw5VmadnFQOP+jvRJnl3NM+w==</t>
  </si>
  <si>
    <t xml:space="preserve">ZTE DO BRASIL INDUSTRIA COMERCIO SERVICOS E PARTICIPACOES LTDA. - Main - BR6409657028 </t>
  </si>
  <si>
    <t>ZTE DO BRASIL INDUSTRIA COMERCIO SERVICOS E PARTICIPACOES LTDA. - BR - AirSea - * HOT * ZTE Air project ex PEK to GRU</t>
  </si>
  <si>
    <t>22b2d7d1-3213-f111-8406-6045bd94c80d</t>
  </si>
  <si>
    <t>VUqYTKqyLSM6vZOYBwEgmuSFxu1fdoQ4yyw+OEKqj7fTq0fDGAWM7Qp3zm7459/DPqGYzCB/vuxlTdFQlTRxDQ==</t>
  </si>
  <si>
    <t>MOTO HONDA DA AMAZONIA LTDA - BR - AirSea - HOT Air shipments from Mexico to Manaus RFQ</t>
  </si>
  <si>
    <t>29df44e4-3163-f111-a826-6045bdf67e82</t>
  </si>
  <si>
    <t>laWQ2uv79FD2VRxJT0bqbbFU+zf81IMa2iahXxB3Lp+PDQdCZGn4/tjNLDDlPWHY9YpNX5acjyd6/ywMuV5LDw==</t>
  </si>
  <si>
    <t xml:space="preserve">PRATICA PRODUTOS SA - Main - BR6413082516 </t>
  </si>
  <si>
    <t>PRATICA PRODUTOS SA - BR - AirSea - AIR IMPORT</t>
  </si>
  <si>
    <t>7b2517ad-3bfd-f011-8406-6045bd94c32f</t>
  </si>
  <si>
    <t>sioT6Qw7NZ4elFKHvV8ouGIbFlBeXtsrOOdcMcdsECx2grN0jL2mCPiplgC1k9g44Wf1Eo8NpKQMHyeDRvhYIw==</t>
  </si>
  <si>
    <t>Honda Trading Brasil Ltda M/A - BR - AirSea - Air Freight - Impo- BID TH_ BR</t>
  </si>
  <si>
    <t>42e84f92-4c43-f111-88b4-70a8a564b123</t>
  </si>
  <si>
    <t>tMpOfZYqd1ACqC4hNzfYosEj2ZlV8Wdr6PnJAAiK3ee3rXj4fX3yc+tZGI4blYOGJfqNkAFq9cl0xQQqADfFSA==</t>
  </si>
  <si>
    <t>b5b3a43d-a139-f111-88b4-000d3a254544</t>
  </si>
  <si>
    <t>trbuaUUxy1mcQJCDQRW9EiFQith/raDPrbhHRJsDBNl9vodDhWuXvR4Kqya+nhT0DLf4SfWJrDmADgRTTMvbJQ==</t>
  </si>
  <si>
    <t xml:space="preserve">GREINER BIO-ONE BRASIL PRODUTOS MEDICOS - Master - BR6413356483 </t>
  </si>
  <si>
    <t>GREINER BIO ONE BRASIL PROD MED HOSPITALARES LTDA - BR - AirSea - Air Export</t>
  </si>
  <si>
    <t>South African Rand</t>
  </si>
  <si>
    <t>01e49c54-ab53-f111-bec7-000d3a254544</t>
  </si>
  <si>
    <t>9+uaGWKxtExFxuvrMZMYqrn8iQV7gHoPEdyhQ5JLief5mGldN8oBLQjEhmKKlI4Ud3DQ0bkp2Et9GDGQryoL4Q==</t>
  </si>
  <si>
    <t>PH</t>
  </si>
  <si>
    <t>81dd325d-93f8-f011-8406-000d3a2548e6</t>
  </si>
  <si>
    <t>ztsXuJdUOKIafCO7YLb/ck8H2p54og9ZgNSKjO4llX9+2Eg5dJljoa7/5fDTsP3ncvVHUa1jAoUGHAjzzxLABw==</t>
  </si>
  <si>
    <t xml:space="preserve">UNICOBA ENERGIA SA M/A - Master - BR6410278067 </t>
  </si>
  <si>
    <t>UNICOBA ENERGIA SA M/A - BR - AirSea - Ocean shipments from Hong Kong to Brasil</t>
  </si>
  <si>
    <t>923f0d3c-a139-f111-88b4-000d3a254f60</t>
  </si>
  <si>
    <t>3+ZDR+u7poGJoMCebRKWOXatF43TpYzBw91jF69T807ctRBagndsdgITrVEwI/eLutzCwDKPxtajx4Ki/vS1JA==</t>
  </si>
  <si>
    <t>65abd64d-4c07-f111-8406-000d3a4491df</t>
  </si>
  <si>
    <t>FGFt1a7Oxpxc3dd5US5H/inBCDRzWharIKQiWTwo3IriPcSla4pTgGqSpbqfxDBtjaBxS/0+M1SWJQ3EoSD/oQ==</t>
  </si>
  <si>
    <t xml:space="preserve">DSM FIRMENICH BRASIL LTDA M/A - Master - BR6413115963 </t>
  </si>
  <si>
    <t>DSM FIRMENICH BRASIL LTDA M/A - BR - AirSea - Official launch for FIRMENICH SA LCL</t>
  </si>
  <si>
    <t>c414eb81-7f3e-f111-88b4-6045bd94c4ce</t>
  </si>
  <si>
    <t>V3Hn5+RLFT/aPry6qWNqC+w4GDRElUJraKORfOp6jlYqRV3ufH/h86PlPlZDoKuY8I5elkQJfynbyA7oKcaQFA==</t>
  </si>
  <si>
    <t xml:space="preserve">SUCURI COMERCIO DE ARTIGOS DE PESCA LTDA - Main - BR6409414207 </t>
  </si>
  <si>
    <t>SUCURI COMERCIO DE ARTIGOS DE PESCA LTDA - BR - AirSea - Ocean shipments from Italy to Manaus</t>
  </si>
  <si>
    <t>ce87e7b5-c523-f111-8341-6045bd94c4ed</t>
  </si>
  <si>
    <t>zTiN1+mEMvDATnlrHWO3ihFm4QC0kSohKdqqPE/budB7yl3RaP/XjXJry94BbryKLXtWaXhVDQh0NVyFh5LhqQ==</t>
  </si>
  <si>
    <t>GT</t>
  </si>
  <si>
    <t>2131bf40-ef05-f111-8406-6045bd94c6ba</t>
  </si>
  <si>
    <t>jvLTN53WZdYaCHCpA2hSgqXCvYAny5UCZJVfI8/Um8tV34+/1dGdxNG2hGQqRUXbufFnaX1GwZ2ouv6jG0rNsA==</t>
  </si>
  <si>
    <t xml:space="preserve">Orient Relogios da Amazonia M/A Ltda - Master - BR6410572580 </t>
  </si>
  <si>
    <t>Orient Relogios da Amazonia M/A Ltda - BR - AirSea - ocean shipment from China to Manaus</t>
  </si>
  <si>
    <t>d79e7385-0e61-f111-a826-6045bd94c6ba</t>
  </si>
  <si>
    <t>PF6h/fmTvHLfLmyd1FVdIv9Rp1uL95HqnWE1hN7Yt8VuUxcfEAMhguLvq8hsUu+YeFU7lifNDWJQ55PsMW7ToA==</t>
  </si>
  <si>
    <t xml:space="preserve">LA CASA DEL MAR INDUSTRIA E COM DE PESCADOS LTDA - Main - BR6413828378 </t>
  </si>
  <si>
    <t>LA CASA DEL MAR INDUSTRIA E COM DE PESCADOS LTDA - BR - Air&amp;Sea - ***REEFER*** - LA CASA - NAVEGANTES x CHITTAGONG - FROZEN FISH</t>
  </si>
  <si>
    <t>BD</t>
  </si>
  <si>
    <t>17913ad6-d9fa-f011-8406-6045bd94c9df</t>
  </si>
  <si>
    <t>Has+zzBNNlhe355G8aREYwGy95QUMQXNhV6n3PKVbbVpaXT2Cl7MxwjbEv6rtzZgexnl1VvWF/3O8AWRNC2Gig==</t>
  </si>
  <si>
    <t>9f7672cf-084e-f111-bec7-6045bd94cf79</t>
  </si>
  <si>
    <t>vuTVck0HlBy3Sx8DuWwjAMCD6wNKmUMW2nnlPtjkPUVWzf9o8kLlvu9JKODJzTfSsFX2/xDvmfd9jB2ffZlE+Q==</t>
  </si>
  <si>
    <t>MOTO HONDA DA AMAZONIA LTDA - BR - AirSea - Ocean shipments from London to Manaus BR</t>
  </si>
  <si>
    <t>b492e2e5-caeb-f011-8544-6045bd9d3312</t>
  </si>
  <si>
    <t>ICG7JJn7/2s66iEVdVkIucz6Jc8hbw04bDEXe2jmFwXr00wBYMi0rvY9dnGJNo244Nkm4IXSr9g72InAYvlC6g==</t>
  </si>
  <si>
    <t xml:space="preserve">KAESER COMPRESSORES DO BRASIL LTDA - Main - BR6406342568 </t>
  </si>
  <si>
    <t>KAESER COMPRESSORES DO BRASIL LTDA - BR - AirSea - Kaeser Inland Freight Import</t>
  </si>
  <si>
    <t>666657cb-6d50-f111-bec6-7ced8d8efa7b</t>
  </si>
  <si>
    <t>+WHvY+97LFeFTS9GpRvu7XAQVeTdEPa5Bqjk9lTb67rkXL5qtXxrkHtmzqV3R3ZzM3rgHLIcuseCi/58Z29bWg==</t>
  </si>
  <si>
    <t xml:space="preserve">SMARTTECH SERVICOS DE TESTES E SIMULACOES LTDA - Main - BR6413736211 </t>
  </si>
  <si>
    <t>SMARTTECH SERVICOS DE TESTES E SIMULACOES LTDA - BR - AirSea - HALLIBURTON PROJECT</t>
  </si>
  <si>
    <t>51977671-bcf7-f011-8406-6045bd94c80d</t>
  </si>
  <si>
    <t>2JrdqDP4GyIzsmUiSLymWdyye8tC8fN5Qk9XPKQAww97CVmbwW6hju0XcKsWWG0aExeZDILgxdvdTwAnL4a2jA==</t>
  </si>
  <si>
    <t xml:space="preserve">LOUIS DREYFUS COMPANY BRASIL M/A - Master - BR6411336604 </t>
  </si>
  <si>
    <t>LOUIS DREYFUS COMPANY Coca Cola FCL PGN-SHA SPOT 14TEUS</t>
  </si>
  <si>
    <t>45f17a99-144b-f111-bec6-6045bd94c73f</t>
  </si>
  <si>
    <t>XU2ogvKikcrnFFS09WQxHDR8ncrTqnz/fDZseKQrMN/t2pWlQKpE6CMdVlIEjfUs0vfnvrhI7DbtKq1p52IGUg==</t>
  </si>
  <si>
    <t xml:space="preserve">ESMALGLASS DO BRASIL FRITAS ESMALTES E CORANTES CERAMICOS LTDA - Main - BR6403973609 </t>
  </si>
  <si>
    <t>ESMALGLASS DO BRASIL FRITAS ESMALTES E CORANTES CERAMICOS LTDA - BR - AirSea - . spot 4500698838 cn</t>
  </si>
  <si>
    <t>dfb3f65e-c044-f111-88b4-6045bd94cb22</t>
  </si>
  <si>
    <t>GbLM8PeSp3C9VzWFTaMwCBMdPkvq6gDbEiOg7DcAzOhCxI07GW98LZok9MRBsS4/xN8oe40aWczf4lzA77G8mA==</t>
  </si>
  <si>
    <t>ZILIA TECHNOLOGIES INDUSTRIA DE COMPONENTES SEMICONDUTORES LTDA - BR - AirSea - BRMAO x USAUS | QUOTE#QCPQ00075765/A - Solicitação de Cotação URgente</t>
  </si>
  <si>
    <t>550dce20-5d54-f111-bec7-6045bd94c9df</t>
  </si>
  <si>
    <t>I/mMH4R3oMLUroKCSIklVBvpoIdkoO9Px9rMh72UteELSOMUjTufoe0POJFqTjZoSWsn8L7RCBufZELEdCYjFA==</t>
  </si>
  <si>
    <t xml:space="preserve">KION SOUTH AMERICA FAB EQ ARM LTDA - Main - BR6406589710 </t>
  </si>
  <si>
    <t>***HOT*** SPOT KION SOUTH AMERICA FAB EQ ARM LTDA - BR - AirSea.</t>
  </si>
  <si>
    <t>ee9aa408-1914-f111-8406-6045bd94c50c</t>
  </si>
  <si>
    <t>W9o4YI92HGnhY/+SRN1vroECwrqXUS+Wmb38GmNWOKCtdJkafO1mjr29nTuPDidSQzqxgG6MaAstQoCTB3uw0A==</t>
  </si>
  <si>
    <t xml:space="preserve">KIMBERLY CLARK BRASIL M/A - Master - BR6410288878 </t>
  </si>
  <si>
    <t>KIMBERLY CLARK BRASIL M/A - BR - AirSea - RFQ FCL 2026</t>
  </si>
  <si>
    <t>9ea59b6c-ab53-f111-bec7-000d3a254544</t>
  </si>
  <si>
    <t>Yfq49F6fB+u4ah5JZEf10KmBlBMAJpb2QMZ99sq+d/L4xyy7GE/puCG+fa2wtpJ8kHfdhCke5cHCfzeD+yOWRA==</t>
  </si>
  <si>
    <t>65582d6e-d6fa-f011-8406-6045bd94c9df</t>
  </si>
  <si>
    <t>mm4YTCRFlm3MtRNwtLa9L04+GBX66x3e+lk4weAlHIEvczrP2mzGmmCbMJq7Jb3lB0eYF4iJyi6C6EHmlzWmWQ==</t>
  </si>
  <si>
    <t>5d5d1f74-7a1e-f111-8341-6045bd94c31f</t>
  </si>
  <si>
    <t>VrkrYNTuics6Vc0v7r4Vou4nZJ2oEgNbouk+na/XaWcS2w5LrM/6ccyZ1HyalFLtqwAi4RsdArfGbaQZns5qag==</t>
  </si>
  <si>
    <t>INGREDION BRASIL INGREDIENTES INDUSTRIAIS LTDA - BR - AirSea - BR x GHANA</t>
  </si>
  <si>
    <t>9b449a17-4463-f111-a826-6045bd94c31f</t>
  </si>
  <si>
    <t>gQ3me/UYOZ1U1X+6j0ff/ZkPpVuZXQ4gAEeR+jMx6DI6S9lyWaEFiHVTmQIPb4ieQCvisHQGl8jFwl58v67R5w==</t>
  </si>
  <si>
    <t>GELITA DO BRASIL LTDA. - BR - Air&amp;Sea - SPOT AIR</t>
  </si>
  <si>
    <t>4b537c5c-d829-f111-8341-6045bd94c4ce</t>
  </si>
  <si>
    <t>RXu54qpABRL9n7I+KHsqtOKWetHJrVdxyXC6rFlVux/iG1y+/ULquwZzZSKBmpL+6ji0/69Q13Rz7B+Xf4ESZw==</t>
  </si>
  <si>
    <t xml:space="preserve">ISCAR DO BRASIL COMERCIAL LTDA - Main - BR6407607998 </t>
  </si>
  <si>
    <t>ISCAR DO BRASIL - FIS TH x BR</t>
  </si>
  <si>
    <t>5b19ef51-d32e-f111-88b3-6045bd94c80d</t>
  </si>
  <si>
    <t>FeeFQA4yX+9McxIcRnegPhtjAdGqsHkFp7AV149l6v2yJh/ZQdPi2QIf3JTKHxp5s860cgJCGL+ndrmR8gbdhA==</t>
  </si>
  <si>
    <t>J.A OLIVEIRA - Acc-09588144.</t>
  </si>
  <si>
    <t>J.A OLIVEIRA - BR - AirSea - CN x BR SEA *HOT*</t>
  </si>
  <si>
    <t>8f1f601c-4e3f-f111-88b4-6045bd94c8bc</t>
  </si>
  <si>
    <t>60KG4hmuoneves1NGWGHPyUQDSTjSjM1FBXI5QdHkSROLtf1RtQpCahOwbg8DunXZAFm9nsKYtp8eyys3mR75g==</t>
  </si>
  <si>
    <t>INGREDION BRASIL INGREDIENTES INDUSTRIAIS LTDA - BR - AirSea - BR x Chile *HOT*</t>
  </si>
  <si>
    <t>2572d834-4f1e-f111-8341-6045bd94ca6d</t>
  </si>
  <si>
    <t>ag1afZD3WpGchvBJ3teH2DaXC2/PnuKn04dZJBZ595bHcACeCOb1o49YIkXF9vsG5W3nLTiiSwu4ENoFinGa9Q==</t>
  </si>
  <si>
    <t xml:space="preserve">Symrise Aromas e Fragrancias Ltda. M/A - Master - BR6409532069 </t>
  </si>
  <si>
    <t>Symrise Aromas e Fragrancias Ltda. M/A - BR - AirSea - Potential LCL Spot quotes Cloned</t>
  </si>
  <si>
    <t>2672d834-4f1e-f111-8341-6045bd94ca6d</t>
  </si>
  <si>
    <t>z3Wj0U1QUs/mSDGkoFou3uFiGD4xLd5BGmhm7SPCW6/ObjNtf3yJUfu5EQKgo7X5UBT+oUYOifZ9As3lrlx1+w==</t>
  </si>
  <si>
    <t>2872d834-4f1e-f111-8341-6045bd94ca6d</t>
  </si>
  <si>
    <t>YN6h3omVDsZBDcWUYRb+cr5gFVrNt1CC4r9lgios9T2aLBa0FHan2frBKVll0OSYnIOUe5CVRGyoowLL4OB8PQ==</t>
  </si>
  <si>
    <t>2972d834-4f1e-f111-8341-6045bd94ca6d</t>
  </si>
  <si>
    <t>9rNyK9S9PsLSwIHC92c8FgMhtv5RQPbRnLXSw2b5hE+ffsX84grq+pb1XH5NhmGPceu7LIu1zdAtxl140uJ8nQ==</t>
  </si>
  <si>
    <t>2a72d834-4f1e-f111-8341-6045bd94ca6d</t>
  </si>
  <si>
    <t>/dgkY4WZj7NeS99oQmhk7mZhrZsG3Tj+JlrmaNro4NNNYU+ZWu/SsIDO53rbvf9/AIgqTPuhICwgtUVAgxEFrA==</t>
  </si>
  <si>
    <t>467c591f-45ea-f011-8406-000d3aac46f3</t>
  </si>
  <si>
    <t>QqnFlpdj/M5nnemdxnWdosBLgL2KvxRsSBUIs2dPdmnJCbSaTcXUK1Z6OAzgxSZiVnhjuCeTIsJ20vNHJO83Gg==</t>
  </si>
  <si>
    <t>KZ</t>
  </si>
  <si>
    <t>f853a838-c9eb-f011-8544-7ced8d8d2754</t>
  </si>
  <si>
    <t>xL1qv0dSAY0uFzJEOjilqvgJidilH4BKXBwvRKDLUMj3xckShpFkTcNV1+BeTelWkXRsj3Lqb/61xr0pA94UYg==</t>
  </si>
  <si>
    <t xml:space="preserve">ABB ELETRIFICACAO LTDA - Main - BR6408595350 </t>
  </si>
  <si>
    <t>*HOT* BID ABB AUTOMAÇÃO (MO) AIR 2026 2RD</t>
  </si>
  <si>
    <t>38b3ecfc-3330-f111-88b4-0022487edd57</t>
  </si>
  <si>
    <t>2m9Q0ZHoSjnFwtLGu3RpBx+zm1+Yq66kKvrEfnnrua4GrU5yrcZDaKyIBoXFSbZk58O+djWIMDk1RzHurzMS/A==</t>
  </si>
  <si>
    <t>GE CELMA LTDA M/A - BR - AirSea - QRIO00274733</t>
  </si>
  <si>
    <t>OM</t>
  </si>
  <si>
    <t>f5a1a6b2-da39-f111-88b4-000d3a2544a1</t>
  </si>
  <si>
    <t>yQkSljsQbfx5UyBEwCJwlDiTwI2RvS8yQJZGPeGp9+jrb2r1NjGAdzKWYeNPZVpo/2eI0EX4o2nM3NaggTsWRg==</t>
  </si>
  <si>
    <t>NEXTRACKER BRASIL LTDA M/A - BR - AirSea - BRGRU x MXMTY | QUOTE#QCPQ00075463 - SO33946 - Separação de material e envio de ASN</t>
  </si>
  <si>
    <t>680df1ef-d329-f111-8341-7c1e52730c2d</t>
  </si>
  <si>
    <t>hZlx9P1q/+E2jlnDFUWlzNz47p680hyYiHjOwUmJFBMBy2u47ogu+nJY2NQzY+yLrWsKTLqR4WFdRGVQvn9NPg==</t>
  </si>
  <si>
    <t xml:space="preserve">TE CONNECTIVITY BRASIL INDUSTRIA DE ELETRONICOS LTDA - Main - BR6404111473 </t>
  </si>
  <si>
    <t>TE CONNECTIVITY BRASIL INDUSTRIA DE ELETRONICOS LTDA - BR - AirSea -BID GLOBAL - MARÍTIMO - 2026 - Val. 31.03.2026</t>
  </si>
  <si>
    <t>674a0b38-c9eb-f011-8544-7c1e52278d13</t>
  </si>
  <si>
    <t>EtbqcAFfjp53OqIgwnuv5nJEjsqGvZCCWllM4L1Lj6+D8Ao/+K5kIOcvwcnr8OGBOFGVwkSWm7ERdsMjXh8XpQ==</t>
  </si>
  <si>
    <t>4a011ddc-e9fd-f011-8406-6045bd890446</t>
  </si>
  <si>
    <t>5qGBcjMCl5xLOKExbU8Ae0uC/A2Ha3xXPy074wlIjQjsIWDjsY2ITxZQ353lUXYCRpyHgRf2TswsnyJ4tZ9cCg==</t>
  </si>
  <si>
    <t>NEXTRACKER BRASIL LTDA M/A - BR - AirSea - Logistic Rate - BHA Issue BBS &amp; BBC - Supplier to Tora</t>
  </si>
  <si>
    <t>9c6f7e4d-9818-f111-8341-7ced8d151f31</t>
  </si>
  <si>
    <t>Ps8qG6qcQXT9npqznA56tsW2/4edc2IqjhZNL5IeCIWBAM7yhUSvMRK9NquKkgSJN/0T+0E1MPQHgYCwKN8XBQ==</t>
  </si>
  <si>
    <t>ABB AUTOMACAO LTDA M/A - BR - AirSea - EXP SEA - CPT - SANTOS X INDIA</t>
  </si>
  <si>
    <t>84e724cc-c0f0-f011-8406-6045bd94ca6d</t>
  </si>
  <si>
    <t>qvP8P4oW1rPY+66jAhYFGkdoptyeOjMo59zHivmKUWgAfqQ9H2UCz+1cePL7dm2L/ulUkUWDzH0VzeUUIoqdXA==</t>
  </si>
  <si>
    <t>2d457d39-673e-f111-88b4-6045bd94c840</t>
  </si>
  <si>
    <t>RdIbW+khpGbUSAdIsJLSrba0DG1DjPmhY8RQIGttdAGxdxrVTPMlFm2haUg5u0hHM5nuJuNirLRJRhsF+zTm8g==</t>
  </si>
  <si>
    <t>b151c616-c026-f111-8341-70a8a564826f</t>
  </si>
  <si>
    <t>/94QGcauzNc6Oy2gNJuVT3yJ6oyu694/blm0IbtMDuJI3kZEyGrXuQwyQnYJSlkMGVDMi8xmJSz9RsVUiC+48A==</t>
  </si>
  <si>
    <t>a1bbd3c7-c523-f111-8341-6045bd94c4ed</t>
  </si>
  <si>
    <t>u6iYHolQkVj33MYp68HCKndDs+l23t6knzqKqoDJa8Nd74OlQog0J0ef1bqG0jl5qVwRUBAQcO+1tn7gnf8P1g==</t>
  </si>
  <si>
    <t>GREINER BIO ONE BRASIL PROD MED HOSPITALARES LTDA - BR - AirSea - Sea Import</t>
  </si>
  <si>
    <t>66931372-dafa-f011-8406-6045bd94c9df</t>
  </si>
  <si>
    <t>KclgEwfai27aQjwo+BYJ+47knXTFNeYEfpF1UJB6K2dd2GdPss+nD/lz6Zgo5dc9BjwhtAULdej57EsyuU/AxA==</t>
  </si>
  <si>
    <t>HR</t>
  </si>
  <si>
    <t>03dadbc9-673e-f111-88b4-6045bd94c840</t>
  </si>
  <si>
    <t>RlHRFT86eqBORKR934anYceNnyf9n/1ipbyZra9HZUalinu5eIdN3Yq7pufl1RoeuyfheksWUDpUrBPc/dBl0g==</t>
  </si>
  <si>
    <t>95544a1c-7832-f111-88b3-6045bd94c4ce</t>
  </si>
  <si>
    <t>QNLPnTLfLlqbQAdX3LpeuHBV+b5tCe8DWxONJIGIULrw5X36jBe6IXWzlGQV/ZtGhc3ZI4kAQir4pRX13Yf+mw==</t>
  </si>
  <si>
    <t xml:space="preserve">NEWMOTOR CENTER LTDA - Main - BR6410624178 </t>
  </si>
  <si>
    <t>NEWMOTOR CENTER LTDA - BR - AirSea - Ocean shipments from China to Manaus</t>
  </si>
  <si>
    <t>9328cc7c-3213-f111-8406-6045bd94c80d</t>
  </si>
  <si>
    <t>F3kB837ZM53mM0M1/NvxnHqE9yg8OemU9Pdr87gCQq29VVP9EKXGMZJxx9f5v9vDFYZ/Q0WsHuBjQ0R28yQUbw==</t>
  </si>
  <si>
    <t>MOTO HONDA DA AMAZONIA LTDA - BR - AirSea - HOT Air shipments from Malaysia to Manaus MAO RFQ</t>
  </si>
  <si>
    <t>3395e1c8-463e-f111-88b4-6045bd94ca6d</t>
  </si>
  <si>
    <t>YuWItjDNbMkevVgcrhCPKQGOQxUTrixbts2UQDeTKIjw9SWiK+fBN3NP8/q3d9lNzQb5dek+s/PBu5hgYcnpsA==</t>
  </si>
  <si>
    <t xml:space="preserve">TONIORE AGRONEGOCIO COMERCIO E EXPORTACAO LTDA - Main - BR6413443583 </t>
  </si>
  <si>
    <t>*HOT* TONIORE AGRONEGOCIO COMERCIO E EXPORTACAO LTDA - BR - AirSea - Copper</t>
  </si>
  <si>
    <t>d3628c75-7e11-f111-8406-000d3a254bcd</t>
  </si>
  <si>
    <t>hKA/xVnGl/TzZIkK4ibn8lHOD48cdNDYVEpFqM51SW0GQelQuzYe9Plof8TNVZX9Z1/atL61UaZdnc0eQNs3fw==</t>
  </si>
  <si>
    <t>38eb57fe-35eb-f011-8544-7c1e5211d718</t>
  </si>
  <si>
    <t>zmK2JP+ijHPNEBAfuGZJJcZ2joEjJ/w3pIaci1Oopr6XPljbEfj3d4EArOglaEApklXHit2jt/B1gHv9DWrwJQ==</t>
  </si>
  <si>
    <t>1072bde0-dafa-f011-8406-6045bd94c9df</t>
  </si>
  <si>
    <t>R60kHFRlaXoVSzFvOoFVNYB5M5gSbUWcnZnK5QGMt0VMoAzirL9PjaJ6p6fXkrPjTA/9RD8XSN2Y1mgokSPqXQ==</t>
  </si>
  <si>
    <t>15f9b7d3-be47-f111-bec6-70a8a564b123</t>
  </si>
  <si>
    <t>EsT3ldLHa3G9gahOLinc4pjMihU498tnm+rykKCw0wGhJd3Qg2y/lCtKv2jFbeXH+lIcAYx3ruoRCA70l/qaXg==</t>
  </si>
  <si>
    <t xml:space="preserve">Grandfood Industria e Comercio M/A Ltda - Master - BR6410409498 </t>
  </si>
  <si>
    <t>** Hot**Grandfood Industria e Comercio M/A Ltda - BR - AirSea - Premier Pet Phase 2 -  Shipping from Czech Republic to Brazil</t>
  </si>
  <si>
    <t>1872dd32-57f1-f011-8406-000d3a2548e6</t>
  </si>
  <si>
    <t>V/0GZARY7gzy5PKIAigQgkp3aQJPjbMwXC1P/Wt9nIDSkvASjxmUf6bkHf5o/ORCcdOSwq6EYoshx+r6PYgEkg==</t>
  </si>
  <si>
    <t>24bf5a67-a239-f111-88b4-6045bd94c6ba</t>
  </si>
  <si>
    <t>VQSYbKPrvZlje2W0WXgP/ElQpKFthRbHyj8Kb7PmaHIM20LeSJPcdX9LgdE50pCLMAM7fc+es1bRxAIepPyG1g==</t>
  </si>
  <si>
    <t xml:space="preserve">BRASITECH INDUSTRIA E COMERCIO DE APARELHOS PARA BELEZA LTDA - Main - BR6409678309 </t>
  </si>
  <si>
    <t>BRASITECH IND E COM APARELHOS  P/ BELEZA - BR - AirSea - Ocean shipments from China to Manaus</t>
  </si>
  <si>
    <t>67f6aae8-7f54-f111-bec7-6045bd94c840</t>
  </si>
  <si>
    <t>GuEmUh6SNOmfvws0yLl228fbuB7+vKjPIUwigJKvvRVUo5mR5eTNng2IbowoyozAPhlKntkZ3PvBhqiCOxdg2Q==</t>
  </si>
  <si>
    <t xml:space="preserve">ROMAR F MANN CIA LTDA - Main - BR6410572202 </t>
  </si>
  <si>
    <t>ROMAR F MANN CIA LTDA - BR - AirSea - Expo- Air - DE</t>
  </si>
  <si>
    <t>2a363b5d-55fc-f011-8406-7c1e5283bfb3</t>
  </si>
  <si>
    <t>BxcZLikP7mjAMJGGH7FXZhnUKCEWjtHJEMi3qpMzEGpZYzj1IoGUXSgK4zmVxphihGGruKfq121wpRbQ/5Gxrg==</t>
  </si>
  <si>
    <t xml:space="preserve">TELLESCOM IND E COM EM TEL SOCIEDADE UNIPESSOAL LTDA - Main - BR6408979638 </t>
  </si>
  <si>
    <t>TELLESCOM IND E COM EM TEL SOCIEDADE UNIPESSOAL LTDA - BR - AirSea - Air shipments from China to Manaus</t>
  </si>
  <si>
    <t>cab911b8-fb17-f111-8341-000d3a2544a1</t>
  </si>
  <si>
    <t>GiGNm2Y520H0BKf1W4zwVaWx83c9m8JqfBgvXNdyP3Qo+GlK40qI+mpSXNH0938bDqgx4RxknzbMNkcGWFbnbA==</t>
  </si>
  <si>
    <t>e580c507-f7ea-f011-8544-7c1e5211d718</t>
  </si>
  <si>
    <t>BHpHRledRSAu0QYbjSAVIkNYjY7GVi9MvlSjc3Hl1Ok7nUn/xJwmZN2CydaXsYC6fo8GbPsKpFlLed9ucjwjUg==</t>
  </si>
  <si>
    <t>4199b07d-3f29-f111-8341-6045bd8edb07</t>
  </si>
  <si>
    <t>5Hx0+NJYJZzfVmlGdiyzwS+CeMHbc4cuemWF5rkyCpKsmmS9kPYScBUcsxBnFyOgIeXBkD1CP/ZKRDKLl/2i8w==</t>
  </si>
  <si>
    <t>*HOT* ABB ELETRIFICACAO LTDA - BR - AirSea - BID SEA FCL-LCL 2026</t>
  </si>
  <si>
    <t>2d19c570-a050-f111-bec6-70a8a5a66289</t>
  </si>
  <si>
    <t>wQ/pFZyjEX/X/8/ve8WYa0EXEfXVksHow7VPGRWNfghOXB26uEMqo6B9JMuE537NK5PO0T9wQcG/E3WXLW3fCA==</t>
  </si>
  <si>
    <t>NEXTRACKER BRASIL LTDA M/A - BR - AirSea - BRVCP x LULUX | QUOTE#QCPQ00075460 (NOVA QCPQ00076585) - SO34284 - Terna - Ptolemaida - NXBR541</t>
  </si>
  <si>
    <t>b206a083-cf52-f111-bec7-6045bd94c32f</t>
  </si>
  <si>
    <t>tMf8iQBIS0vUYiMhEeknTtwyW8Wjc3mSvA2S2PNhm/wzjG9nPScmMfEL1pku19SmC+FFU+/wET3AqQHGH7fK3g==</t>
  </si>
  <si>
    <t xml:space="preserve">VERTIV TECNOLOGIA DO BRASIL LTDA - Main - BR6409015195 </t>
  </si>
  <si>
    <t>VERTIV TECNOLOGIA DO BRASIL LTDA - BR - AirSea - ***HOT*** - Desembaraço Projeto Data Center</t>
  </si>
  <si>
    <t>c4712626-4537-f111-88b4-000d3a254999</t>
  </si>
  <si>
    <t>kmEKZh6huK6lCQSygUecBErd+I026eLeuFp6ishksXc6jBpWzugub735wUXQFF01S5cIfJhB7pOm3kjyaLM58A==</t>
  </si>
  <si>
    <t>863a0a5d-bb47-f111-bec6-70a8a564b123</t>
  </si>
  <si>
    <t>xmVTnCpVNJAS/xvRmFN5HBfS1rDuQqONdCaaRB2leu59uSJVdaY+GqP9P0ZfRe/uzwZ0RdD37FAjYVZJp86+eQ==</t>
  </si>
  <si>
    <t xml:space="preserve">HBA HUTCHINSON BRASIL M/A AUTOMOTIVE LTDA - Master - BR6410863480 </t>
  </si>
  <si>
    <t>HBA HUTCHINSON BRASIL M/A AUTOMOTIVE LTDA - BR - AirSea - Global BD APAC SEA RFQ Q2 2026</t>
  </si>
  <si>
    <t>5d5f01bf-4601-f111-8406-000d3a254bcd</t>
  </si>
  <si>
    <t>7ym7rGbMhpQ0Nji100+8f/7t855OsaumUQ64QIRagjZw2UMtTzXJMH3cnycCiLn6w/bRtB6nQhWa2rEP/0/aJA==</t>
  </si>
  <si>
    <t xml:space="preserve">Macnor Marine Consult Empr. Ltda. - Main - BR6404654278 </t>
  </si>
  <si>
    <t>Macnor Marine Consult Empr. Ltda. - BR - AirSea - FIA:: NO X BR</t>
  </si>
  <si>
    <t>b7d9082c-bf47-f111-bec6-0022487edd57</t>
  </si>
  <si>
    <t>frx0ACjxpRbufLoPzlBuIndYNU2RCuX8E94eMciN/ITDbXgKYqeGhPsGInFkzUHD8assVlepcoca44XHtC2urg==</t>
  </si>
  <si>
    <t>MOTO HONDA DA AMAZONIA LTDA - BR - AirSea - Ocean shipments from Netherlands to Manaus</t>
  </si>
  <si>
    <t>bde6fec5-5eea-f011-8406-00224881e13c</t>
  </si>
  <si>
    <t>l46zBqytN+/b0T8zMqrELu9qcYQ2wk3BXfDKzH8ITfy79ZFvAECSxCbEJCmvjPMJZK9fOmhbAxBolM1ZJeN5gA==</t>
  </si>
  <si>
    <t>da1ad40a-4d00-f111-8406-6045bd890446</t>
  </si>
  <si>
    <t>aaRb/5v+aOgqJ5Owffw7nYWwmKyo0+cNMoL9ZIynl13ZuBPCh5GlvkxyrT9lKak/rfQHHLocMxPVSCuHn27bmg==</t>
  </si>
  <si>
    <t>SN</t>
  </si>
  <si>
    <t>0ac73423-4d00-f111-8406-6045bd890446</t>
  </si>
  <si>
    <t>+dev0DYm4ZPH1u2Cpkrc8qGxwl8ilt9tdstAFsLDQU66Bpj6jjuKE/7LW/70h78CEKX62ccSsbeu9USd9A1Atw==</t>
  </si>
  <si>
    <t>cd06da05-4500-f111-8406-6045bd94c32f</t>
  </si>
  <si>
    <t>dh8MkKCyOAIqKuU68kpQRPuYjJ40W3tEolVoU9p7xONTR/bUOnS/l5L8+XG7Gzu/GKBz5uGIxI0k8Ww1iFXrPA==</t>
  </si>
  <si>
    <t xml:space="preserve">JOHNSON &amp; JOHNSON DO BRASIL IND COM DE PRODUTOS PARA SAUDE M/A - Master - BR6413192649 </t>
  </si>
  <si>
    <t>*HOT* J&amp;J FCL 2026</t>
  </si>
  <si>
    <t>4ae672ba-3358-f111-bec7-70a8a564b123</t>
  </si>
  <si>
    <t>bshXgw6eGc04yubT0lUCL31S4W9XEqKFcEKW5ZTea0FT1vfXRHsJMsmqje39S58odnFAivYHGkW+x4wc7u5c+Q==</t>
  </si>
  <si>
    <t xml:space="preserve">CORNING BRASIL IND E COMER LTDA - Main - BR6405942943 </t>
  </si>
  <si>
    <t>CORNING BRASIL IND E COMER LTDA - BR - AirSea - CORNING - IMPORTAÇÃO MARITIMA CN X BR</t>
  </si>
  <si>
    <t>220d26a1-3a58-f111-bec7-70a8a564b123</t>
  </si>
  <si>
    <t>QQQi41ren75u1H4wc4SkdUsvt5zzr/V3KOxSoZbURkK7e8c8JAtrw9zNlITDp12Mku6X74gG/sPiopdg3OmrBA==</t>
  </si>
  <si>
    <t xml:space="preserve">AMAZON KUIPER BRASIL LTDA M/A - Master - BR6412948365 </t>
  </si>
  <si>
    <t>AMAZON KUIPER BRASIL LTDA M/A - BR - AirSea - INTELLIAN FBA502 - KUIPER - Boa Vista BRAZIL</t>
  </si>
  <si>
    <t>75807e0f-3feb-f011-8544-7c1e5211d718</t>
  </si>
  <si>
    <t>LraBxThnNEoZM8GxbSbuy9CdKxgzWItBzUd/KSQcYETU7iygZLpdZOqUbLkJLx4lHx5bhINYa0dXfqHREBRTwA==</t>
  </si>
  <si>
    <t>AMAZON KUIPER BRASIL LTDA M/A - BR - AirSea - Legacy FIS Kuiper</t>
  </si>
  <si>
    <t>95049f9d-4400-f111-8406-6045bd94c32f</t>
  </si>
  <si>
    <t>RfenpT12sQk6HhQgAnE/ffIsSkTQFZRSliA8SuWlO1kfj+1LP6x8iTGqXfKTgcmWKvoFS9w/22iA4+cO5f8ZkQ==</t>
  </si>
  <si>
    <t>78ecacc4-7a0e-f111-8406-000d3abe15b8</t>
  </si>
  <si>
    <t>pewpNDLEslwJsqWfU7k0xq468GltPEU28BgL7Hat8cYHi9PX8JX/Rvm0VrjWFqtZesIXiScS4o1UYhMuJsCYrg==</t>
  </si>
  <si>
    <t>*HOT*  GOF JnJ  - 2026</t>
  </si>
  <si>
    <t>ef8c5f94-c344-f111-88b4-6045bd94c515</t>
  </si>
  <si>
    <t>QWtY7Dp6N7bpOPz4eOkjO9fGrP3yv+0mBxXZCtxVLYlBAT04HuREhhV2aqotT7s4mhQSBZZICfZBU9UuIts82g==</t>
  </si>
  <si>
    <t xml:space="preserve">EATON LTDA. - Main - BR6406586133 </t>
  </si>
  <si>
    <t>EATON LTDA. - BR - AirSea - 20261491 - Project</t>
  </si>
  <si>
    <t>49a531e1-dbfa-f011-8406-6045bd94c9df</t>
  </si>
  <si>
    <t>4QwkLBTNt9BfAwSWS1Ng0BVQoaHGVyxmMv5Z6SFLcz1PyKbcY2HZ/En3mP0lF4gQOPtb7KNEeARDW8ULrlnFZg==</t>
  </si>
  <si>
    <t>85d64f3e-222a-f111-88b3-6045bd94c515</t>
  </si>
  <si>
    <t>fUYJt3LyH4/vY/hgThhvgcuQ8lRo8aQNSOLJItjbCW4lQHz7CRvVcpcBPK4L2VkfyJT/a9w3WSCLJ2aFkmhShA==</t>
  </si>
  <si>
    <t xml:space="preserve">FUNDACAO COORD DE PROJ PESQ E ESTUDOS TECNOL COPPETEC - Main - BR6405548786 </t>
  </si>
  <si>
    <t>FUNDACAO COORD DE PROJ PESQ E ESTUDOS TECNOL COPPETEC - BR - AirSea - FIA: CN X BR</t>
  </si>
  <si>
    <t>a9faa424-0d2d-f111-88b3-000d3a254c63</t>
  </si>
  <si>
    <t>/onlwocV2JC/0fVfr/iPdKJx/l4/S0+Ys01yG0BddGOdYfhloItgtWQsJP3M5sMaV0LEpXzYO7weJymfFPDRXg==</t>
  </si>
  <si>
    <t xml:space="preserve">ALPHA ASSEMBLY SOLUTIONS BRASIL SOLDAS LTDA - Main - BR6412880651 </t>
  </si>
  <si>
    <t>ALPHA ASSEMBLY SOLUTIONS BRASIL SOLDAS LTDA - BR - AirSea - Airnshipments from New York to Manaus BR</t>
  </si>
  <si>
    <t>0ac3ae44-382d-f111-88b3-6045bd94c80d</t>
  </si>
  <si>
    <t>0et2k9JLYKXgT4UTFWh8dGElmWnZNEETuO3ABa+kZXnYjJGq051GviKj/Y42MkCXW93hSjf0Ho6j5T9haLVUEA==</t>
  </si>
  <si>
    <t>WEIR DO BRASIL LTDA - BR - AirSea - WEIR EXM  Official launch  - Global BD FCL_LCL Rate Refresh 2026</t>
  </si>
  <si>
    <t>d43909b8-e63f-f111-88b4-6045bd94c80d</t>
  </si>
  <si>
    <t>c3abv8h8LIixlZpcFOU0Lbtrna/UQvqOXVYuNMiQbkIamGCgxhBLvcpI0UAr5yJIqbfi63mjc4wWzDt7hDIwiw==</t>
  </si>
  <si>
    <t>STARA S/A IND DE IMPLEM AGRICOLAS - BR - AirSea - Expo - Air - Colombia</t>
  </si>
  <si>
    <t>4764e94f-a9f7-f011-8406-6045bd94ca6d</t>
  </si>
  <si>
    <t>eWRuknA+fgPMGeTsVcjNNqJgSWIg9qflyGwxNnD4myV4LYtK/DidpZaFzPL9BHEvwbtLIq7kcBt1vOGCKibNcQ==</t>
  </si>
  <si>
    <t xml:space="preserve">BIC AMAZONIA SA - Main - BR6406599840 </t>
  </si>
  <si>
    <t>BIC AMAZONIA SA - BR - AirSea - Trucking export shipments from Manaus to Montevideo</t>
  </si>
  <si>
    <t>bc1a3536-8f02-f111-8406-7ced8d97e9e7</t>
  </si>
  <si>
    <t>knz805FTpxKHlhkTc2GVMGERUVi7WImhU+5yYpcedi+ZFHEaWytDxZTTZT3tTI6wpQItBCJy5JDRCxh5aAoCaA==</t>
  </si>
  <si>
    <t>NEXTRACKER BRASIL LTDA M/A - BR - AirSea - Nextracker Bahia - Machine Shippment</t>
  </si>
  <si>
    <t>a71f4dd9-f83f-f111-88b4-000d3a254999</t>
  </si>
  <si>
    <t>rpLP9wovJMWSyKXMQdaeWAF8PpWC3bA74B+eWrhaM4M3q1f2ULHVwo5BOAmJQTxQJ1hrexDUgwfHofDw/56aQQ==</t>
  </si>
  <si>
    <t>FLEXTRONICS DA AMAZONIA LTDA M/A - BR - AirSea - Verisure - THERMOFOAM CSOMAGOLASTECHNIKAI KFT - SEA - Ocean - Collect - Commercial Inv  P26/0049  - P26/0051 - QCPQ00075429/A</t>
  </si>
  <si>
    <t>8adafb22-45ea-f011-8544-6045bd8cfb20</t>
  </si>
  <si>
    <t>eUt5uC7FBFdoHP+kgU/uuOpYxfxjPpEzGdoPrcB2CogwYHyHHsngSoOSx9SdvnWmkBiZT1sN9k9nUzkYo9da5w==</t>
  </si>
  <si>
    <t>a20235d6-63ea-f011-8544-000d3a2970da</t>
  </si>
  <si>
    <t>HzpIuzf4k+C1fdhB+sZFR71BixSZGkghKSapRA1iJ3hj8Y/XHKWKbdv/74BV29WkOfLxBVBiFl7rTa7JZGwB8g==</t>
  </si>
  <si>
    <t xml:space="preserve">Metalsa Brasil Ind e Com de Autopecas LTDA - Main - BR6405611247 </t>
  </si>
  <si>
    <t>Metalsa - PROJECT impo CN x BR (1x20 OT + 8 x40 OT)</t>
  </si>
  <si>
    <t>0092bd05-ea08-f111-8406-6045bd94c8bc</t>
  </si>
  <si>
    <t>KR/B94Dy/XlhR4eX1YnKzSmUpVm4VdTIoGvYqYLUp27ZPYs6xFsPiJF83jae37yrK+OUnWIFH8wsIYeHJhc6oQ==</t>
  </si>
  <si>
    <t>77daaa57-c05a-f111-bec7-6045bd94cb22</t>
  </si>
  <si>
    <t>Vg1Attc45VEp7wyo+VnKmzhD8oCED64AXIG8qy5M62gjnzEv9Eb39v4TnOkMxIEaTPCycTI7qEGrJdWsO6Pv9Q==</t>
  </si>
  <si>
    <t xml:space="preserve">HELLA DO BRASIL AUTOMOTIVE LTDA - Main - BR6408358876 </t>
  </si>
  <si>
    <t>HELLA DO BRASIL AUTOMOTIVE LTDA - BR - Air&amp;Sea - ***HOT*** FIA- KR/BR - XF260536KN 12.6 TONS</t>
  </si>
  <si>
    <t>d7dc0241-3efd-f011-8406-6045bd94c32f</t>
  </si>
  <si>
    <t>GHKUdooALOT10YF8wGA0Kc2gquBjgckeWZd21f6qAgI/TFnwndSS1j8s4nB85kBB1skR7p/37BLGsXPdTqxfIQ==</t>
  </si>
  <si>
    <t>Honda Trading Brasil Ltda M/A - BR - AirSea - BID Air&amp;Sea - Air, From: CN, To: BR</t>
  </si>
  <si>
    <t>a01b46c6-99f8-f011-8406-000d3a4721c9</t>
  </si>
  <si>
    <t>dV8PRZzM2YaWhZrLIsn0ic0bGQ1Hm2COSks1Dw0No3dXSPe8GGFHQJQrXJ7naoXNzYDNR3WCeDtQMvgLXIUwhg==</t>
  </si>
  <si>
    <t xml:space="preserve">INVENTUS POWER ELETRONICA DO BRASIL LTDA - Main - BR6408979072 </t>
  </si>
  <si>
    <t>INVENTUS POWER ELETRONICA DO BRASIL LTDA - BR - AirSea - Air shipments from China CN to Manaus MAO</t>
  </si>
  <si>
    <t>a2c4b5b6-9648-f111-bec5-000d3aafe985</t>
  </si>
  <si>
    <t>qbrkFh1vfUP5B1IX/X8uwK5LSbmY3wkc15rvExI7XO2w9fv5oyOHGVaxNB90uym2yg604w21nxb7c9F9o76yNA==</t>
  </si>
  <si>
    <t>BIC AMAZONIA SA - BR - AirSea - Ocean shipments from Manaus to Ecuador</t>
  </si>
  <si>
    <t>6128860a-6c00-f111-8406-6045bd94c73f</t>
  </si>
  <si>
    <t>jCWx4gQrQ/kKdiue0yHt3sxgTBJsyzuN4DKOoh4SqX0968PhOm9ZMYZyWmMc8nkskxri/1Ngw6IgQtsxeTz0RQ==</t>
  </si>
  <si>
    <t xml:space="preserve">DIGITRON DA AMAZONIA INDUSTRIA E COMERCIO LTDA - Main - BR6408852877 </t>
  </si>
  <si>
    <t>DIGITRON DA AMAZONIA INDUSTRIA E COMERCIO LTDA - BR - AirSea - Air shipment from Taiwan TW to MAO BR</t>
  </si>
  <si>
    <t>2a13f03e-ef43-f111-88b4-6045bd94c73f</t>
  </si>
  <si>
    <t>ZOFSoEpBeKBOjcpMJen7iquLXXOpX1/Y8Cct/dwPG1c+pOUmAOODna0mg2NYFhF8G6/qmC3uAXDjs9M9ME3GaQ==</t>
  </si>
  <si>
    <t xml:space="preserve">VOSSKO DO BRASIL ALIMENTOS CONGELADOS LTDA - Main - BR6413828389 </t>
  </si>
  <si>
    <t>VOSSKO DO BRASIL ALIMENTOS CONGELADOS LTDA - BR - AirSea - ***HOT***/***REEFER*** VOSSKO - EXPO - BR</t>
  </si>
  <si>
    <t>c301b95e-53f1-f011-8406-000d3a2548e6</t>
  </si>
  <si>
    <t>W7F2XOtqwrCZKx3Hx/atB1fwZVjSlJ7hUIugRvMpEeaVY4v7dQI6lrObxFPLJFZwAXMLqebXRlctS8es/3LQ0w==</t>
  </si>
  <si>
    <t>db5ca69b-e234-f111-88b3-6045bd94c4ed</t>
  </si>
  <si>
    <t>CIatvRZPJMd1JX4jBDWM3vSgNFSSK4gfrxmYitfvwNByq+E+2j+AUAXUm6jdVHlyHneJqsYiF6jGkr4MM9UzPw==</t>
  </si>
  <si>
    <t xml:space="preserve">SENSOR DO BRASIL EQUIPAMENTOS INDUSTRIAIS LTDA - Main - BR6409114433 </t>
  </si>
  <si>
    <t>SENSOR DO BRASIL EQUIPAMENTOS INDUSTRIAIS LTDA - BR - AirSea - Air Import</t>
  </si>
  <si>
    <t>3df0a367-c305-f111-8406-000d3a254c63</t>
  </si>
  <si>
    <t>jjcxUQ6LnaJTEHv1ysDxhDpl/Ac5fkvFdwD9h8gqwFDqE7vRHAsYzf0l/gz8IKH2v7KwxB4NTUJgdUVIbWg2+g==</t>
  </si>
  <si>
    <t xml:space="preserve">Tetra Pak International S.A. TETRA LAVAL - Main - BR6403664579 </t>
  </si>
  <si>
    <t>Tetra Pak International S.A. TETRA LAVAL - BR - AirSea - SPOT EXPORT AIR - TETRA PAK US</t>
  </si>
  <si>
    <t>e4458771-bdf0-f011-8406-6045bd94c515</t>
  </si>
  <si>
    <t>9+fpv9uncGbuTwxEaBXzyXyV40bS57fSBIZPkr3/xlIBmOLLa+4oud7NidocUaWjdIbbmO88k1oJcqI/NAkaFQ==</t>
  </si>
  <si>
    <t xml:space="preserve">TYROLIT DO BRASIL LTDA - Main - BR6409162850 </t>
  </si>
  <si>
    <t>TYROLIT DO BRASIL LTDA - BR - AirSea - FIA AT x BR</t>
  </si>
  <si>
    <t>AT</t>
  </si>
  <si>
    <t>a0632a6f-c336-f111-88b4-6045bd94ca6d</t>
  </si>
  <si>
    <t>a2iXV3zi9PWtKVdd2IfxJariwQnbwoEBPJjEBmZzCwf+YB5VrSZ9vXvQpEpv/WiueFAgiMwVzuJ98LMc4t4iVw==</t>
  </si>
  <si>
    <t xml:space="preserve">Flsmidth Industrial M/A Solutions Ltda - Master - BR6410471824 </t>
  </si>
  <si>
    <t>Flsmidth Industrial M/A Solutions Ltda - BR - AirSea - FES  BR X EC</t>
  </si>
  <si>
    <t>b10d0029-45ea-f011-8406-0022488a1021</t>
  </si>
  <si>
    <t>mBaQgAXH0/82x3iooLo/R4XzclcLMUMvBLDa3wFX5uRVa04yCzpgahD4yA72Pjkjkll3krxpYVXwkLEgYouVTg==</t>
  </si>
  <si>
    <t>RU</t>
  </si>
  <si>
    <t>450f3c9a-edfa-f011-8406-000d3a2548e6</t>
  </si>
  <si>
    <t>tOORvIJf2BLcJh9619Ek9H8E0c/k7sbC73LbhsO0c2V60g5C+uDiyzABac3QDhCDahUPmlHzItnlUpqwkO07gw==</t>
  </si>
  <si>
    <t>FUNDACAO COORD DE PROJ PESQ E ESTUDOS TECNOL COPPETEC - BR - AirSea - FIA: US X BR</t>
  </si>
  <si>
    <t>90df34db-3beb-f011-8544-7c1e5211d718</t>
  </si>
  <si>
    <t>1lHBfZSF23wbTVAvmdOP6+45FDMJG4r/75EDHlmbxePVJV3jsohs2O5GCv55qHVXH2TInG9tKQMMoX3oyGFiQQ==</t>
  </si>
  <si>
    <t xml:space="preserve">HEWLETT PACKARD BRASIL LTDA M/A - Master - BR6413365141 </t>
  </si>
  <si>
    <t>Hewlett-Packard Brasil Ltda - BR - AirSea - Legacy US-BR</t>
  </si>
  <si>
    <t>06364252-7d1c-f111-8341-6045bd94cd49</t>
  </si>
  <si>
    <t>w2yDL+xZEZeRT6GR+T3fWVaxGjSzw8nvFWaGDmO2QIDV72HyxUC0JQetRH7DIAeWfpLJsjKTm+e7uGiNX9hcyA==</t>
  </si>
  <si>
    <t>3340082d-45ea-f011-8406-000d3aac46f3</t>
  </si>
  <si>
    <t>kcN/Zrc8QlbZbzILHh00gY3FROb77YfMhONmZng1aq8M9zdzFW1S21gB3NCzOGQ2T5KwdPrxPSo40zfOv1s2jA==</t>
  </si>
  <si>
    <t>2f9933ea-d0e9-f011-8544-7c1e525e8c76</t>
  </si>
  <si>
    <t>9aAODp67CkuoaLRrSdtj0Jy+a+Jf1WugLfVc87DZh6nKNI1IcIsnI80HcF3jw58li3y+p86EcB1mpiVhyZWsxA==</t>
  </si>
  <si>
    <t xml:space="preserve">CARRIER REFRIGERACAO BRASIL M/A LTDA - Master - BR6410779170 </t>
  </si>
  <si>
    <t>OLD Luc Mushumba</t>
  </si>
  <si>
    <t>**WON FEA AIR RFQ** CARRIER REFRIGERACAO BRASIL M/A LTDA - BR - AirSea -</t>
  </si>
  <si>
    <t>c03c36c1-3d00-f111-8406-6045bd94c32f</t>
  </si>
  <si>
    <t>80OvlL7mp4qDXVEHjV7V/iKun4HDt6T3PfKuGjzWRtxHMSjGwb9E6XkV1ecVd1OulLt6u0GQC0OjagQ5f+VCbw==</t>
  </si>
  <si>
    <t xml:space="preserve">SANOFI-AVENTIS FARMACEUTICA LTDA - Main - BR6406591191 </t>
  </si>
  <si>
    <t>SANOFI-AVENTIS FARMACEUTICA LTDA - BR - AirSea - RFQ OCEAN Sanofi / 2026</t>
  </si>
  <si>
    <t>060b11e3-6716-f111-8341-6045bd94c6ba</t>
  </si>
  <si>
    <t>fj7xVnuUDG+zRSKcgG0PzldzWNUQZMtXw5z4R4khhSp8/1A4qidlLpLmJaP/Fxgfz4rEkAIDVU/Cq+zc6NaRSA==</t>
  </si>
  <si>
    <t xml:space="preserve">THIAGO GIMENEZ INTER DE NEGOCIOS E REPRESENTACOES LTDA - Main - BR6413301286 </t>
  </si>
  <si>
    <t>THIAGO GIMENEZ INTER DE NEGOCIOS E REPRESENTACOES LTDA - BR - AirSea - Sea Freight (FCL) from Rio Grande to Mariel</t>
  </si>
  <si>
    <t>CU</t>
  </si>
  <si>
    <t>a7863ffb-f81b-f111-8341-6045bd94c403</t>
  </si>
  <si>
    <t>d1E5n8zALUZEkSRzbtOqdu8F/4WqnqR9Y6ibm707b1BdPYx0UM7U6C1WJiPfCpIJ3S+5fADvfYj54V0YIUFBqw==</t>
  </si>
  <si>
    <t>Schneider Electric Brasil Ltda M/A - BR - AirSea - SE - FIA SG X BR</t>
  </si>
  <si>
    <t>add45e6a-3413-f111-8406-6045bd94c80d</t>
  </si>
  <si>
    <t>zOC9fehUL+Zdo4qMfe1mKWFinlfyIX6v6LHiU6/6Js79mSH0wcKSr43c9A3NwnpFbiD4vtYyL/7UzpSVrNba9g==</t>
  </si>
  <si>
    <t>MOTO HONDA DA AMAZONIA LTDA - BR - AirSea - HOT Air shipments from Thailand to Brasil RFQ</t>
  </si>
  <si>
    <t>773123f0-404d-f111-bec7-6045bd94c80d</t>
  </si>
  <si>
    <t>XTWYHvjXnOoOMkC1vFJrKy0K4KCjXJHkBNvxKU/w1W7FqndQ2YK/+FnvIywmz91jAdacPjR+cvryC/iX1oUxtA==</t>
  </si>
  <si>
    <t xml:space="preserve">HASBRO DO BRASIL IND E M/A COM DE BRINQUEDOS E JOGOS LTDA - Master - BR6413739613 </t>
  </si>
  <si>
    <t>HASBRO DO BRASIL IND E M/A COM DE BRINQUEDOS E JOGOS LTDA - BR - AirSea - HASBRO - IMPORTAÇÃO MARITIMA CN E VN</t>
  </si>
  <si>
    <t>7a9cc157-3e2a-f111-88b3-6045bd94c4ce</t>
  </si>
  <si>
    <t>R2alqyf4PDA+nucXRKnFXwgR6ZKv4c0uAYwBWG3/QztuKkQAbSdQH5mZ3+hgsI1c7TPIkWA3qHLg2/90pxCOMg==</t>
  </si>
  <si>
    <t xml:space="preserve">HASBRO DO BRASIL INDÚSTRIA E COMÉRCIO DE BRINQUEDOS E JOGOS LTDA - Acc-02163567. </t>
  </si>
  <si>
    <t>HASBRO DO BRASIL INDÚSTRIA E COMÉRCIO DE BRINQUEDOS E JOGOS LTDA - BR - AirSea - HASBRO DO BRASIL</t>
  </si>
  <si>
    <t>0e2f69ec-2f13-f111-8406-6045bd94c80d</t>
  </si>
  <si>
    <t>0B2tXTdHT+RNJztjHpkC/p/6YxjNg/MVCwm79G4Z6Osc/i6JGN3LaVmQ/VqwLpqpYcCg8XnP9zz/uMxtjJojLA==</t>
  </si>
  <si>
    <t>MOTO HONDA DA AMAZONIA LTDA - BR - AirSea - HOT Air shipments from India IN to Manaus MAO RFQ</t>
  </si>
  <si>
    <t>da8e9129-45ea-f011-8544-7c1e5272e166</t>
  </si>
  <si>
    <t>O1PzsLTRn9ylmOSUKZiTBwL77Y8alqePqkF39Cwk3I31FVMhNx5/GgFhMDZUuVSklgs9pFSdVr2ScnkX6bGqJg==</t>
  </si>
  <si>
    <t>58c3e89b-3feb-f011-8544-7c1e5211d718</t>
  </si>
  <si>
    <t>It8TJROnSn2sY5EZcAV25DYUGPMzQVR2NfsSCeA7zc71rZZTyC5ebpePub2QrzQkPZ6S1Pkwcyd86WDOVArx+w==</t>
  </si>
  <si>
    <t>A100 ROW SERVICOS DE DADOS BRASIL LTDA. M/A - BR - AirSea - Legacy FES AWS</t>
  </si>
  <si>
    <t>8029a3d5-1a48-f111-bec6-0022487ed8bb</t>
  </si>
  <si>
    <t>6ba35CClwglYrWPwyAsoA73cSynOOppjHHKjLVk4b/8LSBHIHZgmafpl11QDqxU3eDjYapMbYFVbzpvZ6+jDnw==</t>
  </si>
  <si>
    <t>00907741-1814-f111-8406-6045bd94c50c</t>
  </si>
  <si>
    <t>tzpbv3s5jwHGXvGnr90X6QM5YE9RRCZ05ImApj59igVqx8Xil+JhKG3bQObdZ/aS47E9PIGEC6QLweD/p6+Siw==</t>
  </si>
  <si>
    <t>d2fb7a46-5a16-f111-8341-7ced8d5e701c</t>
  </si>
  <si>
    <t>gP2lVodhlPwtomghnNDyBaKZ1fS6hIbIrAjXgaFPnO7lwwg505dzCdrR6rebHkpZBbGMeiQfBoNQ+kZcGv1QCg==</t>
  </si>
  <si>
    <t xml:space="preserve">Byd Auto do Brasil Ltda - Main - BR6413030687 </t>
  </si>
  <si>
    <t>Byd Auto do Brasil Ltda - BR - AirSea - BYD AUTO</t>
  </si>
  <si>
    <t>2eb930d8-404d-f111-bec7-6045bd94c80d</t>
  </si>
  <si>
    <t>bkTXTBR2VYMeb41YM2H8RkwIWM8rhCfYD4Nc1um2NtFdNR9eY1vtdIPqDhqm2TZdvluYTRST5ucS/reY8bbLWg==</t>
  </si>
  <si>
    <t>ba7c9b39-8b07-f111-8406-6045bd94c708</t>
  </si>
  <si>
    <t>rCxN+CxbdYjJFbY1LhQc0q41T9VtpktlFtF1DUjyyplk2Smc3PFtL02w35nJBZzvuUt7cFaIiWrQAOdZRzhiiQ==</t>
  </si>
  <si>
    <t xml:space="preserve">DESH GLOBAL TRADING S/A M/A - Master - BR6411173044 </t>
  </si>
  <si>
    <t>DESH - Projeto (Esmerilhadora 24 Rebolos)</t>
  </si>
  <si>
    <t>67dcdfb5-d2f4-f011-8406-000d3a2548e6</t>
  </si>
  <si>
    <t>pjYhWR+ydo0Lmb97Xhl4ECV3DXHOYj2eR9eIkg1uIfZAknbzkAu8RKfWPYjZgPuUWVBFPHKj0+84+8+k0cCi7A==</t>
  </si>
  <si>
    <t>91df6879-d2f4-f011-8406-000d3a2548e6</t>
  </si>
  <si>
    <t>yrJ/17wQVLuBQ2siD1t+rhPl2uIaBXXZ0avcgCrRbe9N5Wct/+4984FxJRcA/VUnLF3a/KWBhibi5RkuixIl6w==</t>
  </si>
  <si>
    <t>cb89b70a-3202-f111-8406-6045bd94c664</t>
  </si>
  <si>
    <t>8pZ4plwPmFptue/xuuca8ZrWfY9FtAa4VrNkUYIvwqsrWl0Ic6EucSUnSGsMYwsyAe8z32z5lfxTq4fIhOuwNw==</t>
  </si>
  <si>
    <t xml:space="preserve">ROCKWELL AUTOMATION DO BRASIL LTDA M/A - Master - BR6409462861 </t>
  </si>
  <si>
    <t>Rockwell: Quote # 12090 - RFQ for 6160 - Jundiaí</t>
  </si>
  <si>
    <t>8ba63cbe-19f2-f011-8406-7ced8d8c788b</t>
  </si>
  <si>
    <t>AOGmIsY5yyJtaE+XN6kJ7PJya9GjG4CjnIm1l+iMVnDkJpu3Vtfz6/qCErQyZGWbH6WkymAZoz7bgiWhVU+lWA==</t>
  </si>
  <si>
    <t>***HOT*** FAURECIA AUTOMOTIVE DO BRASIL LTDA m/a - BR - AirSea - FIS - US/BR ( HOUSTON/SANTOS) -BCN FCL Cloned</t>
  </si>
  <si>
    <t>6b1ad04b-79f8-f011-8406-7ced8d94f93b</t>
  </si>
  <si>
    <t>9ZQTG8W129gEwuNRlXKIUjNHza8+4yy1aevW9wc/VMffallIym+jD3kp8HqIdsnlZOxPjyWVzZUXaUE5Yvg03w==</t>
  </si>
  <si>
    <t xml:space="preserve">CARL ZEISS DO BRASIL LTDA M/A - Master - BR6410237174 </t>
  </si>
  <si>
    <t>CARL ZEISS DO BRASIL LTDA M/A - BR - AirSea - imp air *</t>
  </si>
  <si>
    <t>c429df9d-0856-f111-bec7-0022488bb720</t>
  </si>
  <si>
    <t>yO9jV5WXIYSGSFFDP7V3b0cYlfVfD8y7elXO4OuDEoFPzuc/azCY9co1VrDwTEyyWF/BegC6QWwlCxZFZgpj8A==</t>
  </si>
  <si>
    <t xml:space="preserve">CIBER EQUIPAMENTOS RODOVIARIOS LTDA - Main - BR6406585765 </t>
  </si>
  <si>
    <t>Paula Fontoura</t>
  </si>
  <si>
    <t>CIBER EQUIPAMENTOS RODOVIARIOS LTDA - BR - AirSea - FES - RORO - BR x RI - Small Project</t>
  </si>
  <si>
    <t>RE</t>
  </si>
  <si>
    <t>f9631d42-7612-f111-8406-6045bd94c664</t>
  </si>
  <si>
    <t>/wtj7jCTGev2HCJko9WY2ogrehdCUdSKwkPD+Mqcnv3MfOfsfhuhLUyQSvxYDKKM0tmtBv9uRJc/on2KKuBF+A==</t>
  </si>
  <si>
    <t xml:space="preserve">COMPOL POLIMEROS DA AMAZONIA LTDA - Main - BR6408871648 </t>
  </si>
  <si>
    <t>COMPOL POLIMEROS DA AMAZONIA LTDA - BR - AirSea - HOT ocean shipments from CN China to BR Manaus</t>
  </si>
  <si>
    <t>1c6c0e73-bf02-f111-8406-7ced8d0cccab</t>
  </si>
  <si>
    <t>Hj0Ngqsxh5uoUK7J1O8zJSMCjBB9QfGA0hFTycndnoeTcXd75zsxm2PvB03sYqd02GZemRExNRyABMGyVuvasQ==</t>
  </si>
  <si>
    <t xml:space="preserve">PEPSICO DO BRASIL LTDA - Main - BR6406191396 </t>
  </si>
  <si>
    <t>PEPSICO DO BRASIL LTDA PEPSICO SEA FCL IMPO/EXPO 1RD</t>
  </si>
  <si>
    <t>8e5c4415-d664-f111-a826-6045bd94c510</t>
  </si>
  <si>
    <t>EntWFBd3R6mL2hCYWAlLJVoIQ88GFAO1OVlJ7Jy5P9DDTdPemnnHpdKeUEfVrEPvMrWYUKOvIPx4+z6qATaRSA==</t>
  </si>
  <si>
    <t xml:space="preserve">CARTINHA DISTRIBUICAO DE PRODUTOS EDUCATIVOS LTDA - Main - BR6411347423 </t>
  </si>
  <si>
    <t>CARTINHA DISTRIBUICAO DE PRODUTOS EDUCATIVOS LTDA - BR - Air&amp;Sea - CONSOL AT US - WITH DSV</t>
  </si>
  <si>
    <t>995a7d19-bbe9-f011-8544-7c1e525e8c76</t>
  </si>
  <si>
    <t>QVgNqnY9NjC5+1AjYuAL/kLlV055cpct9h8NcM2vLDSpg4dDEQA0eXwMCMC6WcOyIhuJYktfulXZXMQnjeqq1g==</t>
  </si>
  <si>
    <t xml:space="preserve">BASE INDUSTRIA E COMERCIO DE OLEOS E PROTEINAS LTDA - Main - BR6411099960 </t>
  </si>
  <si>
    <t>**HOT** BASE INDUSTRIA E COMERCIO DE OLEOS E PROTEINAS LTDA - BR - AirSea - NIGERIA</t>
  </si>
  <si>
    <t>NG</t>
  </si>
  <si>
    <t>fb0144fe-b849-f111-bec6-000d3a254c63</t>
  </si>
  <si>
    <t>rjMLR+00ZvWm+5ZdaNaOkLFlpTUV9dtoYqB+skrx+232kqYBfBdu9n8QYjQTrW+tp6RVFoqnuI8Ir6x+cADu+w==</t>
  </si>
  <si>
    <t xml:space="preserve">SOTREQ S/A M/A - Master - BR6413021003 </t>
  </si>
  <si>
    <t>***HOT OPP*** SOTREQ S/A: PROJETO GERADORES PECÉM | FIS: US X BR | 30 x FR + 90 x  FR/2anos</t>
  </si>
  <si>
    <t>ce6944bf-7042-f111-88b4-000d3a254bcd</t>
  </si>
  <si>
    <t>hZT4CYmwTGBjHjEqGyfvrZkaD0qQolR8xcMcmGVX3/XWWvNYJIGkwEfA3Oa1C/I1rt3IzWIr0ZMlG/O+k++LuQ==</t>
  </si>
  <si>
    <t xml:space="preserve">CINPAL COMPANHIA INDUSTRIAL DE PECAS PARA AUTOMOVEIS - Main - BR6409776606 </t>
  </si>
  <si>
    <t>***HOT***CINPAL COMPANHIA INDUSTRIAL DE PECAS PARA AUTOMOVEIS - BR - AirSea - EXP RFP Nº 001-20026</t>
  </si>
  <si>
    <t>8c7fe868-4958-f111-bec7-6045bd94c8bc</t>
  </si>
  <si>
    <t>tjh2vvMONqsaYqX24b5a5sUpkilT4JGAhSHsY6iGd/Md1qXVXKrMUAgRhe8WYAaP/NsW4+X7RUySWFQjitBQkg==</t>
  </si>
  <si>
    <t xml:space="preserve">AGRICONNECTION IMP E EXP DE INSUMOS AGRICOLAS LTDA - Main - BR6413802054 </t>
  </si>
  <si>
    <t>AGRICONNECTION IMP E EXP DE INSUMOS AGRICOLAS LTDA - BR - AirSea - *** COMM***Sea Freight (FCL) from Qingdao and Shanghai to Santos (FOB)</t>
  </si>
  <si>
    <t>dsv_market:IprlkwXJRdAId13CVbm9nzNPMMpCDJigI70wufoGeRKG+23+bqxLHWzjfoD5KKwFQJvIzixb5YI+UwRy82wneg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t>
  </si>
  <si>
    <t>Open</t>
  </si>
  <si>
    <t>Lost</t>
  </si>
  <si>
    <t>Courier</t>
  </si>
  <si>
    <t>Food</t>
  </si>
  <si>
    <t>Rail</t>
  </si>
  <si>
    <t>CL - Transport</t>
  </si>
  <si>
    <t>CL - Warehousing</t>
  </si>
  <si>
    <t>XPress Economy Export</t>
  </si>
  <si>
    <t>XPress Economy Import</t>
  </si>
  <si>
    <t>XPress Export</t>
  </si>
  <si>
    <t>XPress Import</t>
  </si>
  <si>
    <t>Not allowed to claim</t>
  </si>
  <si>
    <t>Need claim indication</t>
  </si>
  <si>
    <t>Claim indicated</t>
  </si>
  <si>
    <t>Needs approval</t>
  </si>
  <si>
    <t>Pending</t>
  </si>
  <si>
    <t>Inactive</t>
  </si>
  <si>
    <t>Rejected</t>
  </si>
  <si>
    <t>Claimed</t>
  </si>
  <si>
    <t>Duplicate</t>
  </si>
  <si>
    <t>Awarded on trial</t>
  </si>
  <si>
    <t>Not Quoted</t>
  </si>
  <si>
    <t>Awarded on trial - Open</t>
  </si>
  <si>
    <t>Cloned</t>
  </si>
  <si>
    <t>Lost New</t>
  </si>
  <si>
    <t>Lost Existing</t>
  </si>
  <si>
    <t>Expired – Won without SS</t>
  </si>
  <si>
    <t>Expired – Open</t>
  </si>
  <si>
    <t>Re-contract</t>
  </si>
  <si>
    <t>Growth</t>
  </si>
  <si>
    <t>Regained</t>
  </si>
  <si>
    <t>Interested</t>
  </si>
  <si>
    <t>Closed</t>
  </si>
  <si>
    <t>04 - Negotiating</t>
  </si>
  <si>
    <t>HOT (FÓRMULA)</t>
  </si>
  <si>
    <t>COMMODITIE</t>
  </si>
  <si>
    <t>REEFER</t>
  </si>
  <si>
    <t>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</si>
</sst>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07" totalsRowShown="0">
  <autoFilter ref="A1:AF507" xr:uid="{00000000-0009-0000-0100-000001000000}"/>
  <tableColumns count="32">
    <tableColumn id="1" xr3:uid="{00000000-0010-0000-0000-000001000000}" name="(Do Not Modify) Marke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Status"/>
    <tableColumn id="5" xr3:uid="{00000000-0010-0000-0000-000005000000}" name="Account"/>
    <tableColumn id="6" xr3:uid="{00000000-0010-0000-0000-000006000000}" name="Created By"/>
    <tableColumn id="7" xr3:uid="{00000000-0010-0000-0000-000007000000}" name="Expected close date"/>
    <tableColumn id="8" xr3:uid="{00000000-0010-0000-0000-000008000000}" name="Opportunity"/>
    <tableColumn id="9" xr3:uid="{00000000-0010-0000-0000-000009000000}" name="Division (freight)"/>
    <tableColumn id="10" xr3:uid="{00000000-0010-0000-0000-00000A000000}" name="Market From"/>
    <tableColumn id="11" xr3:uid="{00000000-0010-0000-0000-00000B000000}" name="Market To"/>
    <tableColumn id="12" xr3:uid="{00000000-0010-0000-0000-00000C000000}" name="Owner"/>
    <tableColumn id="13" xr3:uid="{00000000-0010-0000-0000-00000D000000}" name="Payment type"/>
    <tableColumn id="14" xr3:uid="{00000000-0010-0000-0000-00000E000000}" name="Actual Close Date (Opportunity) (Opportunity)"/>
    <tableColumn id="15" xr3:uid="{00000000-0010-0000-0000-00000F000000}" name="Status Reason"/>
    <tableColumn id="16" xr3:uid="{00000000-0010-0000-0000-000010000000}" name="Potential Revenue"/>
    <tableColumn id="17" xr3:uid="{00000000-0010-0000-0000-000011000000}" name="Potential Shipments"/>
    <tableColumn id="18" xr3:uid="{00000000-0010-0000-0000-000012000000}" name="Claim Type"/>
    <tableColumn id="19" xr3:uid="{00000000-0010-0000-0000-000013000000}" name="Potential Air Volume (Kgs)"/>
    <tableColumn id="20" xr3:uid="{00000000-0010-0000-0000-000014000000}" name="Currency"/>
    <tableColumn id="21" xr3:uid="{00000000-0010-0000-0000-000015000000}" name="Potential Revenue (Base)"/>
    <tableColumn id="22" xr3:uid="{00000000-0010-0000-0000-000016000000}" name="Potential Sea FCL Volume (Teus)"/>
    <tableColumn id="23" xr3:uid="{00000000-0010-0000-0000-000017000000}" name="Potential Sea LCL Volume (cbm)"/>
    <tableColumn id="24" xr3:uid="{00000000-0010-0000-0000-000018000000}" name="Traffic status"/>
    <tableColumn id="25" xr3:uid="{00000000-0010-0000-0000-000019000000}" name="Branch (Created By) (User)"/>
    <tableColumn id="26" xr3:uid="{00000000-0010-0000-0000-00001A000000}" name="Close Date (Exp) (Opportunity) (Opportunity)"/>
    <tableColumn id="27" xr3:uid="{00000000-0010-0000-0000-00001B000000}" name="Funnel Stage Name (Opportunity) (Opportunity)"/>
    <tableColumn id="28" xr3:uid="{00000000-0010-0000-0000-00001C000000}" name="Pipeline Phase (Opportunity) (Opportunity)"/>
    <tableColumn id="29" xr3:uid="{F188E257-DAA9-409C-9811-9142B7DFC1B4}" name="HOT (FÓRMULA)" dataDxfId="3">
      <calculatedColumnFormula>ISNUMBER( SEARCH("HOT",H2))</calculatedColumnFormula>
    </tableColumn>
    <tableColumn id="30" xr3:uid="{3E89846F-659C-4E53-BF06-F15B2B89BE55}" name="COMMODITIE" dataDxfId="2">
      <calculatedColumnFormula>ISNUMBER( SEARCH("COMM",H2))</calculatedColumnFormula>
    </tableColumn>
    <tableColumn id="31" xr3:uid="{8238703C-C4BE-48C6-A5EB-38C8AACEFF85}" name="REEFER" dataDxfId="1">
      <calculatedColumnFormula>ISNUMBER( SEARCH("REEFER",H2))</calculatedColumnFormula>
    </tableColumn>
    <tableColumn id="32" xr3:uid="{0A584A1A-8AB8-4DB7-872B-08DFF7170331}" name="PROJETOS" dataDxfId="0">
      <calculatedColumnFormula>ISNUMBER( SEARCH("P01",H2))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07"/>
  <sheetViews>
    <sheetView tabSelected="1" topLeftCell="D1" workbookViewId="0">
      <selection activeCell="D1" sqref="D1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  <col min="8" max="11" width="28" style="1" customWidth="1"/>
    <col min="12" max="12" width="28" customWidth="1"/>
    <col min="13" max="13" width="28" style="1" customWidth="1"/>
    <col min="14" max="14" width="28" style="3" customWidth="1"/>
    <col min="15" max="15" width="28" style="1" customWidth="1"/>
    <col min="16" max="16" width="28" style="4" customWidth="1"/>
    <col min="17" max="17" width="28" style="5" customWidth="1"/>
    <col min="18" max="18" width="28" style="1" customWidth="1"/>
    <col min="19" max="19" width="28" style="5" customWidth="1"/>
    <col min="20" max="20" width="28" style="1" customWidth="1"/>
    <col min="21" max="21" width="28" style="4" customWidth="1"/>
    <col min="22" max="23" width="28" style="5" customWidth="1"/>
    <col min="24" max="25" width="28" style="1" customWidth="1"/>
    <col min="26" max="26" width="28" style="3" customWidth="1"/>
    <col min="27" max="28" width="28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1923</v>
      </c>
      <c r="AD1" t="s">
        <v>1924</v>
      </c>
      <c r="AE1" t="s">
        <v>1925</v>
      </c>
      <c r="AF1" t="s">
        <v>1926</v>
      </c>
    </row>
    <row r="2" spans="1:32">
      <c r="A2" t="s">
        <v>28</v>
      </c>
      <c r="B2" s="1" t="s">
        <v>29</v>
      </c>
      <c r="C2" s="2">
        <v>46103.919050925899</v>
      </c>
      <c r="D2" s="1" t="s">
        <v>30</v>
      </c>
      <c r="E2" s="1" t="s">
        <v>31</v>
      </c>
      <c r="F2" s="1" t="s">
        <v>32</v>
      </c>
      <c r="G2" s="3">
        <v>46108</v>
      </c>
      <c r="H2" s="1" t="s">
        <v>33</v>
      </c>
      <c r="I2" s="1" t="s">
        <v>34</v>
      </c>
      <c r="J2" s="1" t="s">
        <v>35</v>
      </c>
      <c r="K2" s="1" t="s">
        <v>36</v>
      </c>
      <c r="L2" t="s">
        <v>32</v>
      </c>
      <c r="M2" s="1" t="s">
        <v>37</v>
      </c>
      <c r="N2" s="3">
        <v>46103</v>
      </c>
      <c r="O2" s="1" t="s">
        <v>30</v>
      </c>
      <c r="P2" s="4">
        <v>30</v>
      </c>
      <c r="Q2" s="5">
        <v>1</v>
      </c>
      <c r="R2" s="1" t="s">
        <v>38</v>
      </c>
      <c r="S2" s="5">
        <v>850</v>
      </c>
      <c r="T2" s="1" t="s">
        <v>39</v>
      </c>
      <c r="U2" s="4">
        <v>36.94</v>
      </c>
      <c r="Y2" s="1" t="s">
        <v>40</v>
      </c>
      <c r="Z2" s="3">
        <v>46108</v>
      </c>
      <c r="AA2" s="1" t="s">
        <v>41</v>
      </c>
      <c r="AB2" s="1" t="s">
        <v>42</v>
      </c>
      <c r="AC2" t="b">
        <f t="shared" ref="AC2:AC65" si="0">ISNUMBER( SEARCH("HOT",H2))</f>
        <v>0</v>
      </c>
      <c r="AD2" t="b">
        <f t="shared" ref="AD2:AD65" si="1">ISNUMBER( SEARCH("COMM",H2))</f>
        <v>0</v>
      </c>
      <c r="AE2" t="b">
        <f t="shared" ref="AE2:AE65" si="2">ISNUMBER( SEARCH("REEFER",H2))</f>
        <v>0</v>
      </c>
      <c r="AF2" t="b">
        <f t="shared" ref="AF2:AF65" si="3">ISNUMBER( SEARCH("P01",H2))</f>
        <v>0</v>
      </c>
    </row>
    <row r="3" spans="1:32">
      <c r="A3" t="s">
        <v>43</v>
      </c>
      <c r="B3" s="1" t="s">
        <v>44</v>
      </c>
      <c r="C3" s="2">
        <v>46103.919039351902</v>
      </c>
      <c r="D3" s="1" t="s">
        <v>30</v>
      </c>
      <c r="E3" s="1" t="s">
        <v>31</v>
      </c>
      <c r="F3" s="1" t="s">
        <v>32</v>
      </c>
      <c r="G3" s="3">
        <v>46108</v>
      </c>
      <c r="H3" s="1" t="s">
        <v>33</v>
      </c>
      <c r="I3" s="1" t="s">
        <v>34</v>
      </c>
      <c r="J3" s="1" t="s">
        <v>36</v>
      </c>
      <c r="K3" s="1" t="s">
        <v>35</v>
      </c>
      <c r="L3" t="s">
        <v>32</v>
      </c>
      <c r="M3" s="1" t="s">
        <v>45</v>
      </c>
      <c r="N3" s="3">
        <v>46103</v>
      </c>
      <c r="O3" s="1" t="s">
        <v>30</v>
      </c>
      <c r="P3" s="4">
        <v>30</v>
      </c>
      <c r="Q3" s="5">
        <v>1</v>
      </c>
      <c r="R3" s="1" t="s">
        <v>38</v>
      </c>
      <c r="S3" s="5">
        <v>850</v>
      </c>
      <c r="T3" s="1" t="s">
        <v>39</v>
      </c>
      <c r="U3" s="4">
        <v>36.94</v>
      </c>
      <c r="Y3" s="1" t="s">
        <v>40</v>
      </c>
      <c r="Z3" s="3">
        <v>46108</v>
      </c>
      <c r="AA3" s="1" t="s">
        <v>41</v>
      </c>
      <c r="AB3" s="1" t="s">
        <v>42</v>
      </c>
      <c r="AC3" t="b">
        <f t="shared" si="0"/>
        <v>0</v>
      </c>
      <c r="AD3" t="b">
        <f t="shared" si="1"/>
        <v>0</v>
      </c>
      <c r="AE3" t="b">
        <f t="shared" si="2"/>
        <v>0</v>
      </c>
      <c r="AF3" t="b">
        <f t="shared" si="3"/>
        <v>0</v>
      </c>
    </row>
    <row r="4" spans="1:32">
      <c r="A4" t="s">
        <v>46</v>
      </c>
      <c r="B4" s="1" t="s">
        <v>47</v>
      </c>
      <c r="C4" s="2">
        <v>46157.7243171296</v>
      </c>
      <c r="D4" s="1" t="s">
        <v>30</v>
      </c>
      <c r="E4" s="1" t="s">
        <v>48</v>
      </c>
      <c r="F4" s="1" t="s">
        <v>49</v>
      </c>
      <c r="G4" s="3">
        <v>46157</v>
      </c>
      <c r="H4" s="1" t="s">
        <v>50</v>
      </c>
      <c r="I4" s="1" t="s">
        <v>34</v>
      </c>
      <c r="J4" s="1" t="s">
        <v>35</v>
      </c>
      <c r="K4" s="1" t="s">
        <v>35</v>
      </c>
      <c r="L4" t="s">
        <v>49</v>
      </c>
      <c r="N4" s="3">
        <v>46157</v>
      </c>
      <c r="O4" s="1" t="s">
        <v>30</v>
      </c>
      <c r="P4" s="4">
        <v>250</v>
      </c>
      <c r="Q4" s="5">
        <v>1</v>
      </c>
      <c r="R4" s="1" t="s">
        <v>38</v>
      </c>
      <c r="S4" s="5">
        <v>127</v>
      </c>
      <c r="T4" s="1" t="s">
        <v>39</v>
      </c>
      <c r="U4" s="4">
        <v>325.77999999999997</v>
      </c>
      <c r="Y4" s="1" t="s">
        <v>51</v>
      </c>
      <c r="Z4" s="3">
        <v>46157</v>
      </c>
      <c r="AA4" s="1" t="s">
        <v>41</v>
      </c>
      <c r="AB4" s="1" t="s">
        <v>42</v>
      </c>
      <c r="AC4" t="b">
        <f t="shared" si="0"/>
        <v>0</v>
      </c>
      <c r="AD4" t="b">
        <f t="shared" si="1"/>
        <v>0</v>
      </c>
      <c r="AE4" t="b">
        <f t="shared" si="2"/>
        <v>0</v>
      </c>
      <c r="AF4" t="b">
        <f t="shared" si="3"/>
        <v>0</v>
      </c>
    </row>
    <row r="5" spans="1:32">
      <c r="A5" t="s">
        <v>52</v>
      </c>
      <c r="B5" s="1" t="s">
        <v>53</v>
      </c>
      <c r="C5" s="2">
        <v>46142.877962963001</v>
      </c>
      <c r="D5" s="1" t="s">
        <v>30</v>
      </c>
      <c r="E5" s="1" t="s">
        <v>54</v>
      </c>
      <c r="F5" s="1" t="s">
        <v>55</v>
      </c>
      <c r="G5" s="3">
        <v>46142</v>
      </c>
      <c r="H5" s="1" t="s">
        <v>56</v>
      </c>
      <c r="I5" s="1" t="s">
        <v>34</v>
      </c>
      <c r="J5" s="1" t="s">
        <v>57</v>
      </c>
      <c r="K5" s="1" t="s">
        <v>35</v>
      </c>
      <c r="L5" t="s">
        <v>55</v>
      </c>
      <c r="N5" s="3">
        <v>46142</v>
      </c>
      <c r="O5" s="1" t="s">
        <v>30</v>
      </c>
      <c r="P5" s="4">
        <v>400</v>
      </c>
      <c r="Q5" s="5">
        <v>1</v>
      </c>
      <c r="R5" s="1" t="s">
        <v>38</v>
      </c>
      <c r="S5" s="5">
        <v>23</v>
      </c>
      <c r="T5" s="1" t="s">
        <v>39</v>
      </c>
      <c r="U5" s="4">
        <v>512.52</v>
      </c>
      <c r="Y5" s="1" t="s">
        <v>58</v>
      </c>
      <c r="Z5" s="3">
        <v>46142</v>
      </c>
      <c r="AA5" s="1" t="s">
        <v>41</v>
      </c>
      <c r="AB5" s="1" t="s">
        <v>42</v>
      </c>
      <c r="AC5" t="b">
        <f t="shared" si="0"/>
        <v>0</v>
      </c>
      <c r="AD5" t="b">
        <f t="shared" si="1"/>
        <v>0</v>
      </c>
      <c r="AE5" t="b">
        <f t="shared" si="2"/>
        <v>0</v>
      </c>
      <c r="AF5" t="b">
        <f t="shared" si="3"/>
        <v>0</v>
      </c>
    </row>
    <row r="6" spans="1:32">
      <c r="A6" t="s">
        <v>59</v>
      </c>
      <c r="B6" s="1" t="s">
        <v>60</v>
      </c>
      <c r="C6" s="2">
        <v>46121.616886574098</v>
      </c>
      <c r="D6" s="1" t="s">
        <v>30</v>
      </c>
      <c r="E6" s="1" t="s">
        <v>61</v>
      </c>
      <c r="F6" s="1" t="s">
        <v>49</v>
      </c>
      <c r="G6" s="3">
        <v>46121</v>
      </c>
      <c r="H6" s="1" t="s">
        <v>62</v>
      </c>
      <c r="I6" s="1" t="s">
        <v>63</v>
      </c>
      <c r="J6" s="1" t="s">
        <v>35</v>
      </c>
      <c r="K6" s="1" t="s">
        <v>64</v>
      </c>
      <c r="L6" t="s">
        <v>49</v>
      </c>
      <c r="N6" s="3">
        <v>46121</v>
      </c>
      <c r="O6" s="1" t="s">
        <v>30</v>
      </c>
      <c r="P6" s="4">
        <v>600</v>
      </c>
      <c r="Q6" s="5">
        <v>1</v>
      </c>
      <c r="R6" s="1" t="s">
        <v>65</v>
      </c>
      <c r="T6" s="1" t="s">
        <v>39</v>
      </c>
      <c r="U6" s="4">
        <v>752.16</v>
      </c>
      <c r="V6" s="5">
        <v>0</v>
      </c>
      <c r="W6" s="5">
        <v>2</v>
      </c>
      <c r="Y6" s="1" t="s">
        <v>51</v>
      </c>
      <c r="Z6" s="3">
        <v>46121</v>
      </c>
      <c r="AA6" s="1" t="s">
        <v>41</v>
      </c>
      <c r="AB6" s="1" t="s">
        <v>42</v>
      </c>
      <c r="AC6" t="b">
        <f t="shared" si="0"/>
        <v>0</v>
      </c>
      <c r="AD6" t="b">
        <f t="shared" si="1"/>
        <v>0</v>
      </c>
      <c r="AE6" t="b">
        <f t="shared" si="2"/>
        <v>0</v>
      </c>
      <c r="AF6" t="b">
        <f t="shared" si="3"/>
        <v>0</v>
      </c>
    </row>
    <row r="7" spans="1:32">
      <c r="A7" t="s">
        <v>66</v>
      </c>
      <c r="B7" s="1" t="s">
        <v>67</v>
      </c>
      <c r="C7" s="2">
        <v>46029.809768518498</v>
      </c>
      <c r="D7" s="1" t="s">
        <v>30</v>
      </c>
      <c r="E7" s="1" t="s">
        <v>68</v>
      </c>
      <c r="F7" s="1" t="s">
        <v>69</v>
      </c>
      <c r="G7" s="3">
        <v>46029</v>
      </c>
      <c r="H7" s="1" t="s">
        <v>70</v>
      </c>
      <c r="I7" s="1" t="s">
        <v>63</v>
      </c>
      <c r="J7" s="1" t="s">
        <v>35</v>
      </c>
      <c r="K7" s="1" t="s">
        <v>71</v>
      </c>
      <c r="L7" t="s">
        <v>69</v>
      </c>
      <c r="N7" s="3">
        <v>46029</v>
      </c>
      <c r="O7" s="1" t="s">
        <v>30</v>
      </c>
      <c r="P7" s="4">
        <v>600</v>
      </c>
      <c r="Q7" s="5">
        <v>2</v>
      </c>
      <c r="R7" s="1" t="s">
        <v>38</v>
      </c>
      <c r="T7" s="1" t="s">
        <v>39</v>
      </c>
      <c r="U7" s="4">
        <v>712.44</v>
      </c>
      <c r="V7" s="5">
        <v>0</v>
      </c>
      <c r="W7" s="5">
        <v>5</v>
      </c>
      <c r="Y7" s="1" t="s">
        <v>72</v>
      </c>
      <c r="Z7" s="3">
        <v>46029</v>
      </c>
      <c r="AA7" s="1" t="s">
        <v>41</v>
      </c>
      <c r="AB7" s="1" t="s">
        <v>42</v>
      </c>
      <c r="AC7" t="b">
        <f t="shared" si="0"/>
        <v>0</v>
      </c>
      <c r="AD7" t="b">
        <f t="shared" si="1"/>
        <v>0</v>
      </c>
      <c r="AE7" t="b">
        <f t="shared" si="2"/>
        <v>0</v>
      </c>
      <c r="AF7" t="b">
        <f t="shared" si="3"/>
        <v>0</v>
      </c>
    </row>
    <row r="8" spans="1:32">
      <c r="A8" t="s">
        <v>73</v>
      </c>
      <c r="B8" s="1" t="s">
        <v>74</v>
      </c>
      <c r="C8" s="2">
        <v>46182.730555555601</v>
      </c>
      <c r="D8" s="1" t="s">
        <v>30</v>
      </c>
      <c r="E8" s="1" t="s">
        <v>75</v>
      </c>
      <c r="F8" s="1" t="s">
        <v>76</v>
      </c>
      <c r="H8" s="1" t="s">
        <v>77</v>
      </c>
      <c r="I8" s="1" t="s">
        <v>63</v>
      </c>
      <c r="J8" s="1" t="s">
        <v>78</v>
      </c>
      <c r="K8" s="1" t="s">
        <v>35</v>
      </c>
      <c r="L8" t="s">
        <v>76</v>
      </c>
      <c r="M8" s="1" t="s">
        <v>45</v>
      </c>
      <c r="O8" s="1" t="s">
        <v>30</v>
      </c>
      <c r="P8" s="4">
        <v>766</v>
      </c>
      <c r="Q8" s="5">
        <v>1</v>
      </c>
      <c r="T8" s="1" t="s">
        <v>39</v>
      </c>
      <c r="U8" s="4">
        <v>958.42</v>
      </c>
      <c r="V8" s="5">
        <v>0</v>
      </c>
      <c r="W8" s="5">
        <v>1</v>
      </c>
      <c r="Y8" s="1" t="s">
        <v>72</v>
      </c>
      <c r="Z8" s="3">
        <v>46203</v>
      </c>
      <c r="AA8" s="1" t="s">
        <v>79</v>
      </c>
      <c r="AB8" s="1" t="s">
        <v>80</v>
      </c>
      <c r="AC8" t="b">
        <f t="shared" si="0"/>
        <v>0</v>
      </c>
      <c r="AD8" t="b">
        <f t="shared" si="1"/>
        <v>0</v>
      </c>
      <c r="AE8" t="b">
        <f t="shared" si="2"/>
        <v>0</v>
      </c>
      <c r="AF8" t="b">
        <f t="shared" si="3"/>
        <v>0</v>
      </c>
    </row>
    <row r="9" spans="1:32">
      <c r="A9" t="s">
        <v>81</v>
      </c>
      <c r="B9" s="1" t="s">
        <v>82</v>
      </c>
      <c r="C9" s="2">
        <v>46160.623171296298</v>
      </c>
      <c r="D9" s="1" t="s">
        <v>30</v>
      </c>
      <c r="E9" s="1" t="s">
        <v>83</v>
      </c>
      <c r="F9" s="1" t="s">
        <v>84</v>
      </c>
      <c r="G9" s="3">
        <v>46158</v>
      </c>
      <c r="H9" s="1" t="s">
        <v>85</v>
      </c>
      <c r="I9" s="1" t="s">
        <v>63</v>
      </c>
      <c r="J9" s="1" t="s">
        <v>64</v>
      </c>
      <c r="K9" s="1" t="s">
        <v>35</v>
      </c>
      <c r="L9" t="s">
        <v>84</v>
      </c>
      <c r="M9" s="1" t="s">
        <v>45</v>
      </c>
      <c r="N9" s="3">
        <v>46160</v>
      </c>
      <c r="O9" s="1" t="s">
        <v>30</v>
      </c>
      <c r="P9" s="4">
        <v>850</v>
      </c>
      <c r="Q9" s="5">
        <v>1</v>
      </c>
      <c r="R9" s="1" t="s">
        <v>38</v>
      </c>
      <c r="T9" s="1" t="s">
        <v>39</v>
      </c>
      <c r="U9" s="4">
        <v>1107.6400000000001</v>
      </c>
      <c r="V9" s="5">
        <v>0</v>
      </c>
      <c r="W9" s="5">
        <v>10</v>
      </c>
      <c r="Y9" s="1" t="s">
        <v>58</v>
      </c>
      <c r="Z9" s="3">
        <v>46158</v>
      </c>
      <c r="AA9" s="1" t="s">
        <v>41</v>
      </c>
      <c r="AB9" s="1" t="s">
        <v>42</v>
      </c>
      <c r="AC9" t="b">
        <f t="shared" si="0"/>
        <v>0</v>
      </c>
      <c r="AD9" t="b">
        <f t="shared" si="1"/>
        <v>0</v>
      </c>
      <c r="AE9" t="b">
        <f t="shared" si="2"/>
        <v>0</v>
      </c>
      <c r="AF9" t="b">
        <f t="shared" si="3"/>
        <v>0</v>
      </c>
    </row>
    <row r="10" spans="1:32">
      <c r="A10" t="s">
        <v>86</v>
      </c>
      <c r="B10" s="1" t="s">
        <v>87</v>
      </c>
      <c r="C10" s="2">
        <v>46048.851736111101</v>
      </c>
      <c r="D10" s="1" t="s">
        <v>30</v>
      </c>
      <c r="E10" s="1" t="s">
        <v>88</v>
      </c>
      <c r="F10" s="1" t="s">
        <v>89</v>
      </c>
      <c r="G10" s="3">
        <v>46048</v>
      </c>
      <c r="H10" s="1" t="s">
        <v>90</v>
      </c>
      <c r="I10" s="1" t="s">
        <v>34</v>
      </c>
      <c r="J10" s="1" t="s">
        <v>91</v>
      </c>
      <c r="K10" s="1" t="s">
        <v>35</v>
      </c>
      <c r="L10" t="s">
        <v>89</v>
      </c>
      <c r="N10" s="3">
        <v>46048</v>
      </c>
      <c r="O10" s="1" t="s">
        <v>30</v>
      </c>
      <c r="P10" s="4">
        <v>1000</v>
      </c>
      <c r="Q10" s="5">
        <v>1</v>
      </c>
      <c r="R10" s="1" t="s">
        <v>38</v>
      </c>
      <c r="S10" s="5">
        <v>156</v>
      </c>
      <c r="T10" s="1" t="s">
        <v>39</v>
      </c>
      <c r="U10" s="4">
        <v>1193.3</v>
      </c>
      <c r="Y10" s="1" t="s">
        <v>92</v>
      </c>
      <c r="Z10" s="3">
        <v>46048</v>
      </c>
      <c r="AA10" s="1" t="s">
        <v>41</v>
      </c>
      <c r="AB10" s="1" t="s">
        <v>42</v>
      </c>
      <c r="AC10" t="b">
        <f t="shared" si="0"/>
        <v>0</v>
      </c>
      <c r="AD10" t="b">
        <f t="shared" si="1"/>
        <v>0</v>
      </c>
      <c r="AE10" t="b">
        <f t="shared" si="2"/>
        <v>0</v>
      </c>
      <c r="AF10" t="b">
        <f t="shared" si="3"/>
        <v>0</v>
      </c>
    </row>
    <row r="11" spans="1:32">
      <c r="A11" t="s">
        <v>93</v>
      </c>
      <c r="B11" s="1" t="s">
        <v>94</v>
      </c>
      <c r="C11" s="2">
        <v>46104.474340277797</v>
      </c>
      <c r="D11" s="1" t="s">
        <v>30</v>
      </c>
      <c r="E11" s="1" t="s">
        <v>95</v>
      </c>
      <c r="F11" s="1" t="s">
        <v>69</v>
      </c>
      <c r="G11" s="3">
        <v>46104</v>
      </c>
      <c r="H11" s="1" t="s">
        <v>96</v>
      </c>
      <c r="I11" s="1" t="s">
        <v>97</v>
      </c>
      <c r="J11" s="1" t="s">
        <v>35</v>
      </c>
      <c r="K11" s="1" t="s">
        <v>35</v>
      </c>
      <c r="L11" t="s">
        <v>69</v>
      </c>
      <c r="N11" s="3">
        <v>46104</v>
      </c>
      <c r="O11" s="1" t="s">
        <v>30</v>
      </c>
      <c r="P11" s="4">
        <v>1000</v>
      </c>
      <c r="Q11" s="5">
        <v>1</v>
      </c>
      <c r="R11" s="1" t="s">
        <v>38</v>
      </c>
      <c r="T11" s="1" t="s">
        <v>39</v>
      </c>
      <c r="U11" s="4">
        <v>1231.4000000000001</v>
      </c>
      <c r="Y11" s="1" t="s">
        <v>72</v>
      </c>
      <c r="Z11" s="3">
        <v>46104</v>
      </c>
      <c r="AA11" s="1" t="s">
        <v>41</v>
      </c>
      <c r="AB11" s="1" t="s">
        <v>42</v>
      </c>
      <c r="AC11" t="b">
        <f t="shared" si="0"/>
        <v>0</v>
      </c>
      <c r="AD11" t="b">
        <f t="shared" si="1"/>
        <v>0</v>
      </c>
      <c r="AE11" t="b">
        <f t="shared" si="2"/>
        <v>0</v>
      </c>
      <c r="AF11" t="b">
        <f t="shared" si="3"/>
        <v>0</v>
      </c>
    </row>
    <row r="12" spans="1:32">
      <c r="A12" t="s">
        <v>98</v>
      </c>
      <c r="B12" s="1" t="s">
        <v>99</v>
      </c>
      <c r="C12" s="2">
        <v>46127.6078009259</v>
      </c>
      <c r="D12" s="1" t="s">
        <v>30</v>
      </c>
      <c r="E12" s="1" t="s">
        <v>100</v>
      </c>
      <c r="F12" s="1" t="s">
        <v>101</v>
      </c>
      <c r="G12" s="3">
        <v>46126</v>
      </c>
      <c r="H12" s="1" t="s">
        <v>102</v>
      </c>
      <c r="I12" s="1" t="s">
        <v>63</v>
      </c>
      <c r="J12" s="1" t="s">
        <v>35</v>
      </c>
      <c r="K12" s="1" t="s">
        <v>103</v>
      </c>
      <c r="L12" t="s">
        <v>101</v>
      </c>
      <c r="N12" s="3">
        <v>46127</v>
      </c>
      <c r="O12" s="1" t="s">
        <v>30</v>
      </c>
      <c r="P12" s="4">
        <v>1000</v>
      </c>
      <c r="Q12" s="5">
        <v>1</v>
      </c>
      <c r="R12" s="1" t="s">
        <v>38</v>
      </c>
      <c r="T12" s="1" t="s">
        <v>39</v>
      </c>
      <c r="U12" s="4">
        <v>1272.2</v>
      </c>
      <c r="V12" s="5">
        <v>1</v>
      </c>
      <c r="W12" s="5">
        <v>3</v>
      </c>
      <c r="Y12" s="1" t="s">
        <v>72</v>
      </c>
      <c r="Z12" s="3">
        <v>46126</v>
      </c>
      <c r="AA12" s="1" t="s">
        <v>41</v>
      </c>
      <c r="AB12" s="1" t="s">
        <v>42</v>
      </c>
      <c r="AC12" t="b">
        <f t="shared" si="0"/>
        <v>0</v>
      </c>
      <c r="AD12" t="b">
        <f t="shared" si="1"/>
        <v>0</v>
      </c>
      <c r="AE12" t="b">
        <f t="shared" si="2"/>
        <v>0</v>
      </c>
      <c r="AF12" t="b">
        <f t="shared" si="3"/>
        <v>0</v>
      </c>
    </row>
    <row r="13" spans="1:32">
      <c r="A13" t="s">
        <v>104</v>
      </c>
      <c r="B13" s="1" t="s">
        <v>105</v>
      </c>
      <c r="C13" s="2">
        <v>46142.740844907399</v>
      </c>
      <c r="D13" s="1" t="s">
        <v>30</v>
      </c>
      <c r="E13" s="1" t="s">
        <v>106</v>
      </c>
      <c r="F13" s="1" t="s">
        <v>49</v>
      </c>
      <c r="G13" s="3">
        <v>46142</v>
      </c>
      <c r="H13" s="1" t="s">
        <v>107</v>
      </c>
      <c r="I13" s="1" t="s">
        <v>34</v>
      </c>
      <c r="J13" s="1" t="s">
        <v>35</v>
      </c>
      <c r="K13" s="1" t="s">
        <v>108</v>
      </c>
      <c r="L13" t="s">
        <v>49</v>
      </c>
      <c r="N13" s="3">
        <v>46142</v>
      </c>
      <c r="O13" s="1" t="s">
        <v>30</v>
      </c>
      <c r="P13" s="4">
        <v>1300</v>
      </c>
      <c r="Q13" s="5">
        <v>1</v>
      </c>
      <c r="R13" s="1" t="s">
        <v>38</v>
      </c>
      <c r="S13" s="5">
        <v>65</v>
      </c>
      <c r="T13" s="1" t="s">
        <v>39</v>
      </c>
      <c r="U13" s="4">
        <v>1665.69</v>
      </c>
      <c r="Y13" s="1" t="s">
        <v>51</v>
      </c>
      <c r="Z13" s="3">
        <v>46142</v>
      </c>
      <c r="AA13" s="1" t="s">
        <v>41</v>
      </c>
      <c r="AB13" s="1" t="s">
        <v>42</v>
      </c>
      <c r="AC13" t="b">
        <f t="shared" si="0"/>
        <v>0</v>
      </c>
      <c r="AD13" t="b">
        <f t="shared" si="1"/>
        <v>0</v>
      </c>
      <c r="AE13" t="b">
        <f t="shared" si="2"/>
        <v>0</v>
      </c>
      <c r="AF13" t="b">
        <f t="shared" si="3"/>
        <v>0</v>
      </c>
    </row>
    <row r="14" spans="1:32">
      <c r="A14" t="s">
        <v>109</v>
      </c>
      <c r="B14" s="1" t="s">
        <v>110</v>
      </c>
      <c r="C14" s="2">
        <v>46181.561458333301</v>
      </c>
      <c r="D14" s="1" t="s">
        <v>30</v>
      </c>
      <c r="E14" s="1" t="s">
        <v>111</v>
      </c>
      <c r="F14" s="1" t="s">
        <v>112</v>
      </c>
      <c r="G14" s="3">
        <v>46181</v>
      </c>
      <c r="H14" s="1" t="s">
        <v>113</v>
      </c>
      <c r="I14" s="1" t="s">
        <v>63</v>
      </c>
      <c r="J14" s="1" t="s">
        <v>35</v>
      </c>
      <c r="K14" s="1" t="s">
        <v>114</v>
      </c>
      <c r="L14" t="s">
        <v>112</v>
      </c>
      <c r="M14" s="1" t="s">
        <v>37</v>
      </c>
      <c r="N14" s="3">
        <v>46181</v>
      </c>
      <c r="O14" s="1" t="s">
        <v>30</v>
      </c>
      <c r="P14" s="4">
        <v>1465</v>
      </c>
      <c r="Q14" s="5">
        <v>1</v>
      </c>
      <c r="R14" s="1" t="s">
        <v>38</v>
      </c>
      <c r="T14" s="1" t="s">
        <v>39</v>
      </c>
      <c r="U14" s="4">
        <v>1856.59</v>
      </c>
      <c r="V14" s="5">
        <v>0</v>
      </c>
      <c r="W14" s="5">
        <v>2</v>
      </c>
      <c r="Y14" s="1" t="s">
        <v>115</v>
      </c>
      <c r="Z14" s="3">
        <v>46181</v>
      </c>
      <c r="AA14" s="1" t="s">
        <v>41</v>
      </c>
      <c r="AB14" s="1" t="s">
        <v>42</v>
      </c>
      <c r="AC14" t="b">
        <f t="shared" si="0"/>
        <v>0</v>
      </c>
      <c r="AD14" t="b">
        <f t="shared" si="1"/>
        <v>0</v>
      </c>
      <c r="AE14" t="b">
        <f t="shared" si="2"/>
        <v>0</v>
      </c>
      <c r="AF14" t="b">
        <f t="shared" si="3"/>
        <v>0</v>
      </c>
    </row>
    <row r="15" spans="1:32">
      <c r="A15" t="s">
        <v>116</v>
      </c>
      <c r="B15" s="1" t="s">
        <v>117</v>
      </c>
      <c r="C15" s="2">
        <v>46146.602291666699</v>
      </c>
      <c r="D15" s="1" t="s">
        <v>30</v>
      </c>
      <c r="E15" s="1" t="s">
        <v>118</v>
      </c>
      <c r="F15" s="1" t="s">
        <v>119</v>
      </c>
      <c r="G15" s="3">
        <v>46150</v>
      </c>
      <c r="H15" s="1" t="s">
        <v>120</v>
      </c>
      <c r="I15" s="1" t="s">
        <v>34</v>
      </c>
      <c r="J15" s="1" t="s">
        <v>35</v>
      </c>
      <c r="K15" s="1" t="s">
        <v>57</v>
      </c>
      <c r="L15" t="s">
        <v>119</v>
      </c>
      <c r="N15" s="3">
        <v>46146</v>
      </c>
      <c r="O15" s="1" t="s">
        <v>30</v>
      </c>
      <c r="P15" s="4">
        <v>1557.68</v>
      </c>
      <c r="Q15" s="5">
        <v>10</v>
      </c>
      <c r="R15" s="1" t="s">
        <v>38</v>
      </c>
      <c r="S15" s="5">
        <v>52000</v>
      </c>
      <c r="T15" s="1" t="s">
        <v>39</v>
      </c>
      <c r="U15" s="4">
        <v>1998.97</v>
      </c>
      <c r="Y15" s="1" t="s">
        <v>58</v>
      </c>
      <c r="Z15" s="3">
        <v>46150</v>
      </c>
      <c r="AA15" s="1" t="s">
        <v>41</v>
      </c>
      <c r="AB15" s="1" t="s">
        <v>42</v>
      </c>
      <c r="AC15" t="b">
        <f t="shared" si="0"/>
        <v>1</v>
      </c>
      <c r="AD15" t="b">
        <f t="shared" si="1"/>
        <v>0</v>
      </c>
      <c r="AE15" t="b">
        <f t="shared" si="2"/>
        <v>0</v>
      </c>
      <c r="AF15" t="b">
        <f t="shared" si="3"/>
        <v>0</v>
      </c>
    </row>
    <row r="16" spans="1:32">
      <c r="A16" t="s">
        <v>121</v>
      </c>
      <c r="B16" s="1" t="s">
        <v>122</v>
      </c>
      <c r="C16" s="2">
        <v>46129.597777777803</v>
      </c>
      <c r="D16" s="1" t="s">
        <v>30</v>
      </c>
      <c r="E16" s="1" t="s">
        <v>61</v>
      </c>
      <c r="F16" s="1" t="s">
        <v>49</v>
      </c>
      <c r="G16" s="3">
        <v>46129</v>
      </c>
      <c r="H16" s="1" t="s">
        <v>123</v>
      </c>
      <c r="I16" s="1" t="s">
        <v>63</v>
      </c>
      <c r="J16" s="1" t="s">
        <v>35</v>
      </c>
      <c r="K16" s="1" t="s">
        <v>71</v>
      </c>
      <c r="L16" t="s">
        <v>49</v>
      </c>
      <c r="N16" s="3">
        <v>46129</v>
      </c>
      <c r="O16" s="1" t="s">
        <v>30</v>
      </c>
      <c r="P16" s="4">
        <v>1650</v>
      </c>
      <c r="Q16" s="5">
        <v>3</v>
      </c>
      <c r="R16" s="1" t="s">
        <v>38</v>
      </c>
      <c r="T16" s="1" t="s">
        <v>39</v>
      </c>
      <c r="U16" s="4">
        <v>2095.66</v>
      </c>
      <c r="V16" s="5">
        <v>6</v>
      </c>
      <c r="W16" s="5">
        <v>0</v>
      </c>
      <c r="Y16" s="1" t="s">
        <v>51</v>
      </c>
      <c r="Z16" s="3">
        <v>46129</v>
      </c>
      <c r="AA16" s="1" t="s">
        <v>41</v>
      </c>
      <c r="AB16" s="1" t="s">
        <v>42</v>
      </c>
      <c r="AC16" t="b">
        <f t="shared" si="0"/>
        <v>1</v>
      </c>
      <c r="AD16" t="b">
        <f t="shared" si="1"/>
        <v>0</v>
      </c>
      <c r="AE16" t="b">
        <f t="shared" si="2"/>
        <v>0</v>
      </c>
      <c r="AF16" t="b">
        <f t="shared" si="3"/>
        <v>0</v>
      </c>
    </row>
    <row r="17" spans="1:32">
      <c r="A17" t="s">
        <v>124</v>
      </c>
      <c r="B17" s="1" t="s">
        <v>125</v>
      </c>
      <c r="C17" s="2">
        <v>46071.664768518502</v>
      </c>
      <c r="D17" s="1" t="s">
        <v>30</v>
      </c>
      <c r="E17" s="1" t="s">
        <v>126</v>
      </c>
      <c r="F17" s="1" t="s">
        <v>89</v>
      </c>
      <c r="G17" s="3">
        <v>46071</v>
      </c>
      <c r="H17" s="1" t="s">
        <v>127</v>
      </c>
      <c r="I17" s="1" t="s">
        <v>34</v>
      </c>
      <c r="J17" s="1" t="s">
        <v>91</v>
      </c>
      <c r="K17" s="1" t="s">
        <v>35</v>
      </c>
      <c r="L17" t="s">
        <v>89</v>
      </c>
      <c r="N17" s="3">
        <v>46071</v>
      </c>
      <c r="O17" s="1" t="s">
        <v>30</v>
      </c>
      <c r="P17" s="4">
        <v>1700</v>
      </c>
      <c r="Q17" s="5">
        <v>1</v>
      </c>
      <c r="R17" s="1" t="s">
        <v>38</v>
      </c>
      <c r="S17" s="5">
        <v>58</v>
      </c>
      <c r="T17" s="1" t="s">
        <v>39</v>
      </c>
      <c r="U17" s="4">
        <v>2055.81</v>
      </c>
      <c r="Y17" s="1" t="s">
        <v>92</v>
      </c>
      <c r="Z17" s="3">
        <v>46071</v>
      </c>
      <c r="AA17" s="1" t="s">
        <v>41</v>
      </c>
      <c r="AB17" s="1" t="s">
        <v>42</v>
      </c>
      <c r="AC17" t="b">
        <f t="shared" si="0"/>
        <v>0</v>
      </c>
      <c r="AD17" t="b">
        <f t="shared" si="1"/>
        <v>0</v>
      </c>
      <c r="AE17" t="b">
        <f t="shared" si="2"/>
        <v>0</v>
      </c>
      <c r="AF17" t="b">
        <f t="shared" si="3"/>
        <v>0</v>
      </c>
    </row>
    <row r="18" spans="1:32">
      <c r="A18" t="s">
        <v>128</v>
      </c>
      <c r="B18" s="1" t="s">
        <v>129</v>
      </c>
      <c r="C18" s="2">
        <v>46072.855648148201</v>
      </c>
      <c r="D18" s="1" t="s">
        <v>30</v>
      </c>
      <c r="E18" s="1" t="s">
        <v>130</v>
      </c>
      <c r="F18" s="1" t="s">
        <v>89</v>
      </c>
      <c r="G18" s="3">
        <v>46072</v>
      </c>
      <c r="H18" s="1" t="s">
        <v>131</v>
      </c>
      <c r="I18" s="1" t="s">
        <v>34</v>
      </c>
      <c r="J18" s="1" t="s">
        <v>91</v>
      </c>
      <c r="K18" s="1" t="s">
        <v>35</v>
      </c>
      <c r="L18" t="s">
        <v>89</v>
      </c>
      <c r="N18" s="3">
        <v>46072</v>
      </c>
      <c r="O18" s="1" t="s">
        <v>30</v>
      </c>
      <c r="P18" s="4">
        <v>1700</v>
      </c>
      <c r="Q18" s="5">
        <v>1</v>
      </c>
      <c r="R18" s="1" t="s">
        <v>38</v>
      </c>
      <c r="S18" s="5">
        <v>57</v>
      </c>
      <c r="T18" s="1" t="s">
        <v>39</v>
      </c>
      <c r="U18" s="4">
        <v>2063.12</v>
      </c>
      <c r="Y18" s="1" t="s">
        <v>92</v>
      </c>
      <c r="Z18" s="3">
        <v>46072</v>
      </c>
      <c r="AA18" s="1" t="s">
        <v>41</v>
      </c>
      <c r="AB18" s="1" t="s">
        <v>42</v>
      </c>
      <c r="AC18" t="b">
        <f t="shared" si="0"/>
        <v>0</v>
      </c>
      <c r="AD18" t="b">
        <f t="shared" si="1"/>
        <v>0</v>
      </c>
      <c r="AE18" t="b">
        <f t="shared" si="2"/>
        <v>0</v>
      </c>
      <c r="AF18" t="b">
        <f t="shared" si="3"/>
        <v>0</v>
      </c>
    </row>
    <row r="19" spans="1:32">
      <c r="A19" t="s">
        <v>132</v>
      </c>
      <c r="B19" s="1" t="s">
        <v>133</v>
      </c>
      <c r="C19" s="2">
        <v>46155.725428240701</v>
      </c>
      <c r="D19" s="1" t="s">
        <v>30</v>
      </c>
      <c r="E19" s="1" t="s">
        <v>134</v>
      </c>
      <c r="F19" s="1" t="s">
        <v>49</v>
      </c>
      <c r="G19" s="3">
        <v>46155</v>
      </c>
      <c r="H19" s="1" t="s">
        <v>135</v>
      </c>
      <c r="I19" s="1" t="s">
        <v>34</v>
      </c>
      <c r="J19" s="1" t="s">
        <v>35</v>
      </c>
      <c r="K19" s="1" t="s">
        <v>136</v>
      </c>
      <c r="L19" t="s">
        <v>49</v>
      </c>
      <c r="N19" s="3">
        <v>46155</v>
      </c>
      <c r="O19" s="1" t="s">
        <v>30</v>
      </c>
      <c r="P19" s="4">
        <v>1700</v>
      </c>
      <c r="Q19" s="5">
        <v>1</v>
      </c>
      <c r="R19" s="1" t="s">
        <v>65</v>
      </c>
      <c r="S19" s="5">
        <v>173</v>
      </c>
      <c r="T19" s="1" t="s">
        <v>39</v>
      </c>
      <c r="U19" s="4">
        <v>2215.27</v>
      </c>
      <c r="Y19" s="1" t="s">
        <v>51</v>
      </c>
      <c r="Z19" s="3">
        <v>46155</v>
      </c>
      <c r="AA19" s="1" t="s">
        <v>41</v>
      </c>
      <c r="AB19" s="1" t="s">
        <v>42</v>
      </c>
      <c r="AC19" t="b">
        <f t="shared" si="0"/>
        <v>0</v>
      </c>
      <c r="AD19" t="b">
        <f t="shared" si="1"/>
        <v>0</v>
      </c>
      <c r="AE19" t="b">
        <f t="shared" si="2"/>
        <v>0</v>
      </c>
      <c r="AF19" t="b">
        <f t="shared" si="3"/>
        <v>0</v>
      </c>
    </row>
    <row r="20" spans="1:32">
      <c r="A20" t="s">
        <v>137</v>
      </c>
      <c r="B20" s="1" t="s">
        <v>138</v>
      </c>
      <c r="C20" s="2">
        <v>46067.005868055603</v>
      </c>
      <c r="D20" s="1" t="s">
        <v>30</v>
      </c>
      <c r="E20" s="1" t="s">
        <v>139</v>
      </c>
      <c r="F20" s="1" t="s">
        <v>89</v>
      </c>
      <c r="G20" s="3">
        <v>46066</v>
      </c>
      <c r="H20" s="1" t="s">
        <v>140</v>
      </c>
      <c r="I20" s="1" t="s">
        <v>34</v>
      </c>
      <c r="J20" s="1" t="s">
        <v>91</v>
      </c>
      <c r="K20" s="1" t="s">
        <v>35</v>
      </c>
      <c r="L20" t="s">
        <v>89</v>
      </c>
      <c r="N20" s="3">
        <v>46066</v>
      </c>
      <c r="O20" s="1" t="s">
        <v>30</v>
      </c>
      <c r="P20" s="4">
        <v>1700</v>
      </c>
      <c r="Q20" s="5">
        <v>1</v>
      </c>
      <c r="R20" s="1" t="s">
        <v>38</v>
      </c>
      <c r="S20" s="5">
        <v>4</v>
      </c>
      <c r="T20" s="1" t="s">
        <v>39</v>
      </c>
      <c r="U20" s="4">
        <v>2052.2399999999998</v>
      </c>
      <c r="Y20" s="1" t="s">
        <v>92</v>
      </c>
      <c r="Z20" s="3">
        <v>46066</v>
      </c>
      <c r="AA20" s="1" t="s">
        <v>41</v>
      </c>
      <c r="AB20" s="1" t="s">
        <v>42</v>
      </c>
      <c r="AC20" t="b">
        <f t="shared" si="0"/>
        <v>0</v>
      </c>
      <c r="AD20" t="b">
        <f t="shared" si="1"/>
        <v>0</v>
      </c>
      <c r="AE20" t="b">
        <f t="shared" si="2"/>
        <v>0</v>
      </c>
      <c r="AF20" t="b">
        <f t="shared" si="3"/>
        <v>0</v>
      </c>
    </row>
    <row r="21" spans="1:32">
      <c r="A21" t="s">
        <v>141</v>
      </c>
      <c r="B21" s="1" t="s">
        <v>142</v>
      </c>
      <c r="C21" s="2">
        <v>46126.8360300926</v>
      </c>
      <c r="D21" s="1" t="s">
        <v>30</v>
      </c>
      <c r="E21" s="1" t="s">
        <v>139</v>
      </c>
      <c r="F21" s="1" t="s">
        <v>89</v>
      </c>
      <c r="H21" s="1" t="s">
        <v>143</v>
      </c>
      <c r="I21" s="1" t="s">
        <v>34</v>
      </c>
      <c r="J21" s="1" t="s">
        <v>144</v>
      </c>
      <c r="K21" s="1" t="s">
        <v>35</v>
      </c>
      <c r="L21" t="s">
        <v>89</v>
      </c>
      <c r="N21" s="3">
        <v>46126</v>
      </c>
      <c r="O21" s="1" t="s">
        <v>30</v>
      </c>
      <c r="P21" s="4">
        <v>1780</v>
      </c>
      <c r="Q21" s="5">
        <v>1</v>
      </c>
      <c r="R21" s="1" t="s">
        <v>65</v>
      </c>
      <c r="S21" s="5">
        <v>99</v>
      </c>
      <c r="T21" s="1" t="s">
        <v>39</v>
      </c>
      <c r="U21" s="4">
        <v>2264.52</v>
      </c>
      <c r="Y21" s="1" t="s">
        <v>92</v>
      </c>
      <c r="Z21" s="3">
        <v>46126</v>
      </c>
      <c r="AA21" s="1" t="s">
        <v>41</v>
      </c>
      <c r="AB21" s="1" t="s">
        <v>42</v>
      </c>
      <c r="AC21" t="b">
        <f t="shared" si="0"/>
        <v>0</v>
      </c>
      <c r="AD21" t="b">
        <f t="shared" si="1"/>
        <v>0</v>
      </c>
      <c r="AE21" t="b">
        <f t="shared" si="2"/>
        <v>0</v>
      </c>
      <c r="AF21" t="b">
        <f t="shared" si="3"/>
        <v>0</v>
      </c>
    </row>
    <row r="22" spans="1:32">
      <c r="A22" t="s">
        <v>145</v>
      </c>
      <c r="B22" s="1" t="s">
        <v>146</v>
      </c>
      <c r="C22" s="2">
        <v>46055.8694791667</v>
      </c>
      <c r="D22" s="1" t="s">
        <v>30</v>
      </c>
      <c r="E22" s="1" t="s">
        <v>147</v>
      </c>
      <c r="F22" s="1" t="s">
        <v>89</v>
      </c>
      <c r="G22" s="3">
        <v>46055</v>
      </c>
      <c r="H22" s="1" t="s">
        <v>148</v>
      </c>
      <c r="I22" s="1" t="s">
        <v>34</v>
      </c>
      <c r="J22" s="1" t="s">
        <v>91</v>
      </c>
      <c r="K22" s="1" t="s">
        <v>35</v>
      </c>
      <c r="L22" t="s">
        <v>89</v>
      </c>
      <c r="N22" s="3">
        <v>46055</v>
      </c>
      <c r="O22" s="1" t="s">
        <v>30</v>
      </c>
      <c r="P22" s="4">
        <v>1800</v>
      </c>
      <c r="Q22" s="5">
        <v>1</v>
      </c>
      <c r="R22" s="1" t="s">
        <v>38</v>
      </c>
      <c r="S22" s="5">
        <v>528</v>
      </c>
      <c r="T22" s="1" t="s">
        <v>39</v>
      </c>
      <c r="U22" s="4">
        <v>2163.96</v>
      </c>
      <c r="Y22" s="1" t="s">
        <v>92</v>
      </c>
      <c r="Z22" s="3">
        <v>46055</v>
      </c>
      <c r="AA22" s="1" t="s">
        <v>41</v>
      </c>
      <c r="AB22" s="1" t="s">
        <v>42</v>
      </c>
      <c r="AC22" t="b">
        <f t="shared" si="0"/>
        <v>0</v>
      </c>
      <c r="AD22" t="b">
        <f t="shared" si="1"/>
        <v>0</v>
      </c>
      <c r="AE22" t="b">
        <f t="shared" si="2"/>
        <v>0</v>
      </c>
      <c r="AF22" t="b">
        <f t="shared" si="3"/>
        <v>0</v>
      </c>
    </row>
    <row r="23" spans="1:32">
      <c r="A23" t="s">
        <v>149</v>
      </c>
      <c r="B23" s="1" t="s">
        <v>150</v>
      </c>
      <c r="C23" s="2">
        <v>46055.868969907402</v>
      </c>
      <c r="D23" s="1" t="s">
        <v>30</v>
      </c>
      <c r="E23" s="1" t="s">
        <v>151</v>
      </c>
      <c r="F23" s="1" t="s">
        <v>89</v>
      </c>
      <c r="G23" s="3">
        <v>46055</v>
      </c>
      <c r="H23" s="1" t="s">
        <v>152</v>
      </c>
      <c r="I23" s="1" t="s">
        <v>34</v>
      </c>
      <c r="J23" s="1" t="s">
        <v>91</v>
      </c>
      <c r="K23" s="1" t="s">
        <v>35</v>
      </c>
      <c r="L23" t="s">
        <v>89</v>
      </c>
      <c r="N23" s="3">
        <v>46055</v>
      </c>
      <c r="O23" s="1" t="s">
        <v>30</v>
      </c>
      <c r="P23" s="4">
        <v>1800</v>
      </c>
      <c r="Q23" s="5">
        <v>1</v>
      </c>
      <c r="R23" s="1" t="s">
        <v>38</v>
      </c>
      <c r="S23" s="5">
        <v>100</v>
      </c>
      <c r="T23" s="1" t="s">
        <v>39</v>
      </c>
      <c r="U23" s="4">
        <v>2163.96</v>
      </c>
      <c r="Y23" s="1" t="s">
        <v>92</v>
      </c>
      <c r="Z23" s="3">
        <v>46055</v>
      </c>
      <c r="AA23" s="1" t="s">
        <v>41</v>
      </c>
      <c r="AB23" s="1" t="s">
        <v>42</v>
      </c>
      <c r="AC23" t="b">
        <f t="shared" si="0"/>
        <v>0</v>
      </c>
      <c r="AD23" t="b">
        <f t="shared" si="1"/>
        <v>0</v>
      </c>
      <c r="AE23" t="b">
        <f t="shared" si="2"/>
        <v>0</v>
      </c>
      <c r="AF23" t="b">
        <f t="shared" si="3"/>
        <v>0</v>
      </c>
    </row>
    <row r="24" spans="1:32">
      <c r="A24" t="s">
        <v>153</v>
      </c>
      <c r="B24" s="1" t="s">
        <v>154</v>
      </c>
      <c r="C24" s="2">
        <v>46048.849062499998</v>
      </c>
      <c r="D24" s="1" t="s">
        <v>30</v>
      </c>
      <c r="E24" s="1" t="s">
        <v>155</v>
      </c>
      <c r="F24" s="1" t="s">
        <v>89</v>
      </c>
      <c r="G24" s="3">
        <v>46048</v>
      </c>
      <c r="H24" s="1" t="s">
        <v>156</v>
      </c>
      <c r="I24" s="1" t="s">
        <v>34</v>
      </c>
      <c r="J24" s="1" t="s">
        <v>91</v>
      </c>
      <c r="K24" s="1" t="s">
        <v>35</v>
      </c>
      <c r="L24" t="s">
        <v>89</v>
      </c>
      <c r="N24" s="3">
        <v>46048</v>
      </c>
      <c r="O24" s="1" t="s">
        <v>30</v>
      </c>
      <c r="P24" s="4">
        <v>1800</v>
      </c>
      <c r="Q24" s="5">
        <v>1</v>
      </c>
      <c r="R24" s="1" t="s">
        <v>38</v>
      </c>
      <c r="S24" s="5">
        <v>3</v>
      </c>
      <c r="T24" s="1" t="s">
        <v>39</v>
      </c>
      <c r="U24" s="4">
        <v>2147.94</v>
      </c>
      <c r="Y24" s="1" t="s">
        <v>92</v>
      </c>
      <c r="Z24" s="3">
        <v>46048</v>
      </c>
      <c r="AA24" s="1" t="s">
        <v>41</v>
      </c>
      <c r="AB24" s="1" t="s">
        <v>42</v>
      </c>
      <c r="AC24" t="b">
        <f t="shared" si="0"/>
        <v>0</v>
      </c>
      <c r="AD24" t="b">
        <f t="shared" si="1"/>
        <v>0</v>
      </c>
      <c r="AE24" t="b">
        <f t="shared" si="2"/>
        <v>0</v>
      </c>
      <c r="AF24" t="b">
        <f t="shared" si="3"/>
        <v>0</v>
      </c>
    </row>
    <row r="25" spans="1:32">
      <c r="A25" t="s">
        <v>157</v>
      </c>
      <c r="B25" s="1" t="s">
        <v>158</v>
      </c>
      <c r="C25" s="2">
        <v>46051.870370370401</v>
      </c>
      <c r="D25" s="1" t="s">
        <v>30</v>
      </c>
      <c r="E25" s="1" t="s">
        <v>159</v>
      </c>
      <c r="F25" s="1" t="s">
        <v>89</v>
      </c>
      <c r="G25" s="3">
        <v>46051</v>
      </c>
      <c r="H25" s="1" t="s">
        <v>160</v>
      </c>
      <c r="I25" s="1" t="s">
        <v>34</v>
      </c>
      <c r="J25" s="1" t="s">
        <v>91</v>
      </c>
      <c r="K25" s="1" t="s">
        <v>35</v>
      </c>
      <c r="L25" t="s">
        <v>89</v>
      </c>
      <c r="N25" s="3">
        <v>46051</v>
      </c>
      <c r="O25" s="1" t="s">
        <v>30</v>
      </c>
      <c r="P25" s="4">
        <v>1800</v>
      </c>
      <c r="Q25" s="5">
        <v>1</v>
      </c>
      <c r="R25" s="1" t="s">
        <v>38</v>
      </c>
      <c r="S25" s="5">
        <v>100</v>
      </c>
      <c r="T25" s="1" t="s">
        <v>39</v>
      </c>
      <c r="U25" s="4">
        <v>2163.96</v>
      </c>
      <c r="Y25" s="1" t="s">
        <v>92</v>
      </c>
      <c r="Z25" s="3">
        <v>46051</v>
      </c>
      <c r="AA25" s="1" t="s">
        <v>41</v>
      </c>
      <c r="AB25" s="1" t="s">
        <v>42</v>
      </c>
      <c r="AC25" t="b">
        <f t="shared" si="0"/>
        <v>0</v>
      </c>
      <c r="AD25" t="b">
        <f t="shared" si="1"/>
        <v>0</v>
      </c>
      <c r="AE25" t="b">
        <f t="shared" si="2"/>
        <v>0</v>
      </c>
      <c r="AF25" t="b">
        <f t="shared" si="3"/>
        <v>0</v>
      </c>
    </row>
    <row r="26" spans="1:32">
      <c r="A26" t="s">
        <v>161</v>
      </c>
      <c r="B26" s="1" t="s">
        <v>162</v>
      </c>
      <c r="C26" s="2">
        <v>46049.660787036999</v>
      </c>
      <c r="D26" s="1" t="s">
        <v>30</v>
      </c>
      <c r="E26" s="1" t="s">
        <v>163</v>
      </c>
      <c r="F26" s="1" t="s">
        <v>89</v>
      </c>
      <c r="G26" s="3">
        <v>46049</v>
      </c>
      <c r="H26" s="1" t="s">
        <v>164</v>
      </c>
      <c r="I26" s="1" t="s">
        <v>34</v>
      </c>
      <c r="J26" s="1" t="s">
        <v>91</v>
      </c>
      <c r="K26" s="1" t="s">
        <v>35</v>
      </c>
      <c r="L26" t="s">
        <v>89</v>
      </c>
      <c r="N26" s="3">
        <v>46049</v>
      </c>
      <c r="O26" s="1" t="s">
        <v>30</v>
      </c>
      <c r="P26" s="4">
        <v>1800</v>
      </c>
      <c r="Q26" s="5">
        <v>1</v>
      </c>
      <c r="R26" s="1" t="s">
        <v>38</v>
      </c>
      <c r="S26" s="5">
        <v>16</v>
      </c>
      <c r="T26" s="1" t="s">
        <v>39</v>
      </c>
      <c r="U26" s="4">
        <v>2147.94</v>
      </c>
      <c r="Y26" s="1" t="s">
        <v>92</v>
      </c>
      <c r="Z26" s="3">
        <v>46049</v>
      </c>
      <c r="AA26" s="1" t="s">
        <v>41</v>
      </c>
      <c r="AB26" s="1" t="s">
        <v>42</v>
      </c>
      <c r="AC26" t="b">
        <f t="shared" si="0"/>
        <v>0</v>
      </c>
      <c r="AD26" t="b">
        <f t="shared" si="1"/>
        <v>0</v>
      </c>
      <c r="AE26" t="b">
        <f t="shared" si="2"/>
        <v>0</v>
      </c>
      <c r="AF26" t="b">
        <f t="shared" si="3"/>
        <v>0</v>
      </c>
    </row>
    <row r="27" spans="1:32">
      <c r="A27" t="s">
        <v>165</v>
      </c>
      <c r="B27" s="1" t="s">
        <v>166</v>
      </c>
      <c r="C27" s="2">
        <v>46035.7524305556</v>
      </c>
      <c r="D27" s="1" t="s">
        <v>30</v>
      </c>
      <c r="E27" s="1" t="s">
        <v>139</v>
      </c>
      <c r="F27" s="1" t="s">
        <v>89</v>
      </c>
      <c r="G27" s="3">
        <v>46035</v>
      </c>
      <c r="H27" s="1" t="s">
        <v>167</v>
      </c>
      <c r="I27" s="1" t="s">
        <v>34</v>
      </c>
      <c r="J27" s="1" t="s">
        <v>168</v>
      </c>
      <c r="K27" s="1" t="s">
        <v>35</v>
      </c>
      <c r="L27" t="s">
        <v>89</v>
      </c>
      <c r="N27" s="3">
        <v>46035</v>
      </c>
      <c r="O27" s="1" t="s">
        <v>30</v>
      </c>
      <c r="P27" s="4">
        <v>1800</v>
      </c>
      <c r="Q27" s="5">
        <v>1</v>
      </c>
      <c r="R27" s="1" t="s">
        <v>38</v>
      </c>
      <c r="S27" s="5">
        <v>64</v>
      </c>
      <c r="T27" s="1" t="s">
        <v>39</v>
      </c>
      <c r="U27" s="4">
        <v>2144.34</v>
      </c>
      <c r="Y27" s="1" t="s">
        <v>92</v>
      </c>
      <c r="Z27" s="3">
        <v>46035</v>
      </c>
      <c r="AA27" s="1" t="s">
        <v>41</v>
      </c>
      <c r="AB27" s="1" t="s">
        <v>42</v>
      </c>
      <c r="AC27" t="b">
        <f t="shared" si="0"/>
        <v>0</v>
      </c>
      <c r="AD27" t="b">
        <f t="shared" si="1"/>
        <v>0</v>
      </c>
      <c r="AE27" t="b">
        <f t="shared" si="2"/>
        <v>0</v>
      </c>
      <c r="AF27" t="b">
        <f t="shared" si="3"/>
        <v>0</v>
      </c>
    </row>
    <row r="28" spans="1:32">
      <c r="A28" t="s">
        <v>169</v>
      </c>
      <c r="B28" s="1" t="s">
        <v>170</v>
      </c>
      <c r="C28" s="2">
        <v>46072.8536805556</v>
      </c>
      <c r="D28" s="1" t="s">
        <v>30</v>
      </c>
      <c r="E28" s="1" t="s">
        <v>171</v>
      </c>
      <c r="F28" s="1" t="s">
        <v>89</v>
      </c>
      <c r="G28" s="3">
        <v>46072</v>
      </c>
      <c r="H28" s="1" t="s">
        <v>172</v>
      </c>
      <c r="I28" s="1" t="s">
        <v>34</v>
      </c>
      <c r="J28" s="1" t="s">
        <v>91</v>
      </c>
      <c r="K28" s="1" t="s">
        <v>35</v>
      </c>
      <c r="L28" t="s">
        <v>89</v>
      </c>
      <c r="N28" s="3">
        <v>46072</v>
      </c>
      <c r="O28" s="1" t="s">
        <v>30</v>
      </c>
      <c r="P28" s="4">
        <v>1800</v>
      </c>
      <c r="Q28" s="5">
        <v>1</v>
      </c>
      <c r="R28" s="1" t="s">
        <v>38</v>
      </c>
      <c r="S28" s="5">
        <v>3</v>
      </c>
      <c r="T28" s="1" t="s">
        <v>39</v>
      </c>
      <c r="U28" s="4">
        <v>2184.48</v>
      </c>
      <c r="Y28" s="1" t="s">
        <v>92</v>
      </c>
      <c r="Z28" s="3">
        <v>46072</v>
      </c>
      <c r="AA28" s="1" t="s">
        <v>41</v>
      </c>
      <c r="AB28" s="1" t="s">
        <v>42</v>
      </c>
      <c r="AC28" t="b">
        <f t="shared" si="0"/>
        <v>0</v>
      </c>
      <c r="AD28" t="b">
        <f t="shared" si="1"/>
        <v>0</v>
      </c>
      <c r="AE28" t="b">
        <f t="shared" si="2"/>
        <v>0</v>
      </c>
      <c r="AF28" t="b">
        <f t="shared" si="3"/>
        <v>0</v>
      </c>
    </row>
    <row r="29" spans="1:32">
      <c r="A29" t="s">
        <v>173</v>
      </c>
      <c r="B29" s="1" t="s">
        <v>174</v>
      </c>
      <c r="C29" s="2">
        <v>46059.890069444402</v>
      </c>
      <c r="D29" s="1" t="s">
        <v>30</v>
      </c>
      <c r="E29" s="1" t="s">
        <v>175</v>
      </c>
      <c r="F29" s="1" t="s">
        <v>89</v>
      </c>
      <c r="G29" s="3">
        <v>46059</v>
      </c>
      <c r="H29" s="1" t="s">
        <v>176</v>
      </c>
      <c r="I29" s="1" t="s">
        <v>34</v>
      </c>
      <c r="J29" s="1" t="s">
        <v>91</v>
      </c>
      <c r="K29" s="1" t="s">
        <v>35</v>
      </c>
      <c r="L29" t="s">
        <v>89</v>
      </c>
      <c r="N29" s="3">
        <v>46059</v>
      </c>
      <c r="O29" s="1" t="s">
        <v>30</v>
      </c>
      <c r="P29" s="4">
        <v>1800</v>
      </c>
      <c r="Q29" s="5">
        <v>1</v>
      </c>
      <c r="R29" s="1" t="s">
        <v>38</v>
      </c>
      <c r="S29" s="5">
        <v>3</v>
      </c>
      <c r="T29" s="1" t="s">
        <v>39</v>
      </c>
      <c r="U29" s="4">
        <v>2171.6999999999998</v>
      </c>
      <c r="Y29" s="1" t="s">
        <v>92</v>
      </c>
      <c r="Z29" s="3">
        <v>46059</v>
      </c>
      <c r="AA29" s="1" t="s">
        <v>41</v>
      </c>
      <c r="AB29" s="1" t="s">
        <v>42</v>
      </c>
      <c r="AC29" t="b">
        <f t="shared" si="0"/>
        <v>0</v>
      </c>
      <c r="AD29" t="b">
        <f t="shared" si="1"/>
        <v>0</v>
      </c>
      <c r="AE29" t="b">
        <f t="shared" si="2"/>
        <v>0</v>
      </c>
      <c r="AF29" t="b">
        <f t="shared" si="3"/>
        <v>0</v>
      </c>
    </row>
    <row r="30" spans="1:32">
      <c r="A30" t="s">
        <v>177</v>
      </c>
      <c r="B30" s="1" t="s">
        <v>178</v>
      </c>
      <c r="C30" s="2">
        <v>46105.854594907403</v>
      </c>
      <c r="D30" s="1" t="s">
        <v>30</v>
      </c>
      <c r="E30" s="1" t="s">
        <v>179</v>
      </c>
      <c r="F30" s="1" t="s">
        <v>89</v>
      </c>
      <c r="G30" s="3">
        <v>46105</v>
      </c>
      <c r="H30" s="1" t="s">
        <v>180</v>
      </c>
      <c r="I30" s="1" t="s">
        <v>34</v>
      </c>
      <c r="J30" s="1" t="s">
        <v>181</v>
      </c>
      <c r="K30" s="1" t="s">
        <v>35</v>
      </c>
      <c r="L30" t="s">
        <v>89</v>
      </c>
      <c r="N30" s="3">
        <v>46105</v>
      </c>
      <c r="O30" s="1" t="s">
        <v>30</v>
      </c>
      <c r="P30" s="4">
        <v>1820</v>
      </c>
      <c r="Q30" s="5">
        <v>1</v>
      </c>
      <c r="R30" s="1" t="s">
        <v>38</v>
      </c>
      <c r="S30" s="5">
        <v>2</v>
      </c>
      <c r="T30" s="1" t="s">
        <v>39</v>
      </c>
      <c r="U30" s="4">
        <v>2230.0500000000002</v>
      </c>
      <c r="Y30" s="1" t="s">
        <v>92</v>
      </c>
      <c r="Z30" s="3">
        <v>46105</v>
      </c>
      <c r="AA30" s="1" t="s">
        <v>41</v>
      </c>
      <c r="AB30" s="1" t="s">
        <v>42</v>
      </c>
      <c r="AC30" t="b">
        <f t="shared" si="0"/>
        <v>0</v>
      </c>
      <c r="AD30" t="b">
        <f t="shared" si="1"/>
        <v>0</v>
      </c>
      <c r="AE30" t="b">
        <f t="shared" si="2"/>
        <v>0</v>
      </c>
      <c r="AF30" t="b">
        <f t="shared" si="3"/>
        <v>0</v>
      </c>
    </row>
    <row r="31" spans="1:32">
      <c r="A31" t="s">
        <v>182</v>
      </c>
      <c r="B31" s="1" t="s">
        <v>183</v>
      </c>
      <c r="C31" s="2">
        <v>46049.663402777798</v>
      </c>
      <c r="D31" s="1" t="s">
        <v>30</v>
      </c>
      <c r="E31" s="1" t="s">
        <v>184</v>
      </c>
      <c r="F31" s="1" t="s">
        <v>89</v>
      </c>
      <c r="G31" s="3">
        <v>46050</v>
      </c>
      <c r="H31" s="1" t="s">
        <v>185</v>
      </c>
      <c r="I31" s="1" t="s">
        <v>34</v>
      </c>
      <c r="J31" s="1" t="s">
        <v>91</v>
      </c>
      <c r="K31" s="1" t="s">
        <v>35</v>
      </c>
      <c r="L31" t="s">
        <v>89</v>
      </c>
      <c r="N31" s="3">
        <v>46049</v>
      </c>
      <c r="O31" s="1" t="s">
        <v>30</v>
      </c>
      <c r="P31" s="4">
        <v>1822</v>
      </c>
      <c r="Q31" s="5">
        <v>1</v>
      </c>
      <c r="R31" s="1" t="s">
        <v>38</v>
      </c>
      <c r="S31" s="5">
        <v>204</v>
      </c>
      <c r="T31" s="1" t="s">
        <v>39</v>
      </c>
      <c r="U31" s="4">
        <v>2174.19</v>
      </c>
      <c r="Y31" s="1" t="s">
        <v>92</v>
      </c>
      <c r="Z31" s="3">
        <v>46050</v>
      </c>
      <c r="AA31" s="1" t="s">
        <v>41</v>
      </c>
      <c r="AB31" s="1" t="s">
        <v>42</v>
      </c>
      <c r="AC31" t="b">
        <f t="shared" si="0"/>
        <v>0</v>
      </c>
      <c r="AD31" t="b">
        <f t="shared" si="1"/>
        <v>0</v>
      </c>
      <c r="AE31" t="b">
        <f t="shared" si="2"/>
        <v>0</v>
      </c>
      <c r="AF31" t="b">
        <f t="shared" si="3"/>
        <v>0</v>
      </c>
    </row>
    <row r="32" spans="1:32">
      <c r="A32" t="s">
        <v>186</v>
      </c>
      <c r="B32" s="1" t="s">
        <v>187</v>
      </c>
      <c r="C32" s="2">
        <v>46105.8542592593</v>
      </c>
      <c r="D32" s="1" t="s">
        <v>30</v>
      </c>
      <c r="E32" s="1" t="s">
        <v>175</v>
      </c>
      <c r="F32" s="1" t="s">
        <v>89</v>
      </c>
      <c r="G32" s="3">
        <v>46105</v>
      </c>
      <c r="H32" s="1" t="s">
        <v>188</v>
      </c>
      <c r="I32" s="1" t="s">
        <v>34</v>
      </c>
      <c r="J32" s="1" t="s">
        <v>64</v>
      </c>
      <c r="K32" s="1" t="s">
        <v>35</v>
      </c>
      <c r="L32" t="s">
        <v>89</v>
      </c>
      <c r="N32" s="3">
        <v>46105</v>
      </c>
      <c r="O32" s="1" t="s">
        <v>30</v>
      </c>
      <c r="P32" s="4">
        <v>1870</v>
      </c>
      <c r="Q32" s="5">
        <v>1</v>
      </c>
      <c r="R32" s="1" t="s">
        <v>38</v>
      </c>
      <c r="S32" s="5">
        <v>2</v>
      </c>
      <c r="T32" s="1" t="s">
        <v>39</v>
      </c>
      <c r="U32" s="4">
        <v>2291.31</v>
      </c>
      <c r="Y32" s="1" t="s">
        <v>92</v>
      </c>
      <c r="Z32" s="3">
        <v>46105</v>
      </c>
      <c r="AA32" s="1" t="s">
        <v>41</v>
      </c>
      <c r="AB32" s="1" t="s">
        <v>42</v>
      </c>
      <c r="AC32" t="b">
        <f t="shared" si="0"/>
        <v>0</v>
      </c>
      <c r="AD32" t="b">
        <f t="shared" si="1"/>
        <v>0</v>
      </c>
      <c r="AE32" t="b">
        <f t="shared" si="2"/>
        <v>0</v>
      </c>
      <c r="AF32" t="b">
        <f t="shared" si="3"/>
        <v>0</v>
      </c>
    </row>
    <row r="33" spans="1:32">
      <c r="A33" t="s">
        <v>189</v>
      </c>
      <c r="B33" s="1" t="s">
        <v>190</v>
      </c>
      <c r="C33" s="2">
        <v>46150.226215277798</v>
      </c>
      <c r="D33" s="1" t="s">
        <v>30</v>
      </c>
      <c r="E33" s="1" t="s">
        <v>191</v>
      </c>
      <c r="F33" s="1" t="s">
        <v>89</v>
      </c>
      <c r="G33" s="3">
        <v>46036</v>
      </c>
      <c r="H33" s="1" t="s">
        <v>192</v>
      </c>
      <c r="I33" s="1" t="s">
        <v>34</v>
      </c>
      <c r="J33" s="1" t="s">
        <v>91</v>
      </c>
      <c r="K33" s="1" t="s">
        <v>35</v>
      </c>
      <c r="L33" t="s">
        <v>89</v>
      </c>
      <c r="N33" s="3">
        <v>46035</v>
      </c>
      <c r="O33" s="1" t="s">
        <v>30</v>
      </c>
      <c r="P33" s="4">
        <v>1900</v>
      </c>
      <c r="Q33" s="5">
        <v>1</v>
      </c>
      <c r="R33" s="1" t="s">
        <v>38</v>
      </c>
      <c r="S33" s="5">
        <v>124</v>
      </c>
      <c r="T33" s="1" t="s">
        <v>39</v>
      </c>
      <c r="U33" s="4">
        <v>2263.4699999999998</v>
      </c>
      <c r="Y33" s="1" t="s">
        <v>92</v>
      </c>
      <c r="Z33" s="3">
        <v>46036</v>
      </c>
      <c r="AA33" s="1" t="s">
        <v>41</v>
      </c>
      <c r="AB33" s="1" t="s">
        <v>42</v>
      </c>
      <c r="AC33" t="b">
        <f t="shared" si="0"/>
        <v>0</v>
      </c>
      <c r="AD33" t="b">
        <f t="shared" si="1"/>
        <v>0</v>
      </c>
      <c r="AE33" t="b">
        <f t="shared" si="2"/>
        <v>0</v>
      </c>
      <c r="AF33" t="b">
        <f t="shared" si="3"/>
        <v>0</v>
      </c>
    </row>
    <row r="34" spans="1:32">
      <c r="A34" t="s">
        <v>193</v>
      </c>
      <c r="B34" s="1" t="s">
        <v>194</v>
      </c>
      <c r="C34" s="2">
        <v>46035.750520833302</v>
      </c>
      <c r="D34" s="1" t="s">
        <v>30</v>
      </c>
      <c r="E34" s="1" t="s">
        <v>195</v>
      </c>
      <c r="F34" s="1" t="s">
        <v>89</v>
      </c>
      <c r="G34" s="3">
        <v>46036</v>
      </c>
      <c r="H34" s="1" t="s">
        <v>196</v>
      </c>
      <c r="I34" s="1" t="s">
        <v>34</v>
      </c>
      <c r="J34" s="1" t="s">
        <v>168</v>
      </c>
      <c r="K34" s="1" t="s">
        <v>35</v>
      </c>
      <c r="L34" t="s">
        <v>89</v>
      </c>
      <c r="N34" s="3">
        <v>46035</v>
      </c>
      <c r="O34" s="1" t="s">
        <v>30</v>
      </c>
      <c r="P34" s="4">
        <v>1900</v>
      </c>
      <c r="Q34" s="5">
        <v>1</v>
      </c>
      <c r="R34" s="1" t="s">
        <v>38</v>
      </c>
      <c r="S34" s="5">
        <v>48</v>
      </c>
      <c r="T34" s="1" t="s">
        <v>39</v>
      </c>
      <c r="U34" s="4">
        <v>2263.4699999999998</v>
      </c>
      <c r="Y34" s="1" t="s">
        <v>92</v>
      </c>
      <c r="Z34" s="3">
        <v>46036</v>
      </c>
      <c r="AA34" s="1" t="s">
        <v>41</v>
      </c>
      <c r="AB34" s="1" t="s">
        <v>42</v>
      </c>
      <c r="AC34" t="b">
        <f t="shared" si="0"/>
        <v>0</v>
      </c>
      <c r="AD34" t="b">
        <f t="shared" si="1"/>
        <v>0</v>
      </c>
      <c r="AE34" t="b">
        <f t="shared" si="2"/>
        <v>0</v>
      </c>
      <c r="AF34" t="b">
        <f t="shared" si="3"/>
        <v>0</v>
      </c>
    </row>
    <row r="35" spans="1:32">
      <c r="A35" t="s">
        <v>197</v>
      </c>
      <c r="B35" s="1" t="s">
        <v>198</v>
      </c>
      <c r="C35" s="2">
        <v>46101.995694444398</v>
      </c>
      <c r="D35" s="1" t="s">
        <v>30</v>
      </c>
      <c r="E35" s="1" t="s">
        <v>199</v>
      </c>
      <c r="F35" s="1" t="s">
        <v>200</v>
      </c>
      <c r="G35" s="3">
        <v>46121</v>
      </c>
      <c r="H35" s="1" t="s">
        <v>201</v>
      </c>
      <c r="I35" s="1" t="s">
        <v>34</v>
      </c>
      <c r="J35" s="1" t="s">
        <v>35</v>
      </c>
      <c r="K35" s="1" t="s">
        <v>202</v>
      </c>
      <c r="L35" t="s">
        <v>200</v>
      </c>
      <c r="M35" s="1" t="s">
        <v>37</v>
      </c>
      <c r="N35" s="3">
        <v>46101</v>
      </c>
      <c r="O35" s="1" t="s">
        <v>30</v>
      </c>
      <c r="P35" s="4">
        <v>1916</v>
      </c>
      <c r="Q35" s="5">
        <v>1</v>
      </c>
      <c r="R35" s="1" t="s">
        <v>38</v>
      </c>
      <c r="S35" s="5">
        <v>44</v>
      </c>
      <c r="T35" s="1" t="s">
        <v>39</v>
      </c>
      <c r="U35" s="4">
        <v>2359.36</v>
      </c>
      <c r="Y35" s="1" t="s">
        <v>40</v>
      </c>
      <c r="Z35" s="3">
        <v>46121</v>
      </c>
      <c r="AA35" s="1" t="s">
        <v>41</v>
      </c>
      <c r="AB35" s="1" t="s">
        <v>42</v>
      </c>
      <c r="AC35" t="b">
        <f t="shared" si="0"/>
        <v>0</v>
      </c>
      <c r="AD35" t="b">
        <f t="shared" si="1"/>
        <v>0</v>
      </c>
      <c r="AE35" t="b">
        <f t="shared" si="2"/>
        <v>0</v>
      </c>
      <c r="AF35" t="b">
        <f t="shared" si="3"/>
        <v>0</v>
      </c>
    </row>
    <row r="36" spans="1:32">
      <c r="A36" t="s">
        <v>203</v>
      </c>
      <c r="B36" s="1" t="s">
        <v>204</v>
      </c>
      <c r="C36" s="2">
        <v>46065.839560185203</v>
      </c>
      <c r="D36" s="1" t="s">
        <v>30</v>
      </c>
      <c r="E36" s="1" t="s">
        <v>205</v>
      </c>
      <c r="F36" s="1" t="s">
        <v>206</v>
      </c>
      <c r="G36" s="3">
        <v>46065</v>
      </c>
      <c r="H36" s="1" t="s">
        <v>207</v>
      </c>
      <c r="I36" s="1" t="s">
        <v>34</v>
      </c>
      <c r="J36" s="1" t="s">
        <v>35</v>
      </c>
      <c r="K36" s="1" t="s">
        <v>114</v>
      </c>
      <c r="L36" t="s">
        <v>206</v>
      </c>
      <c r="N36" s="3">
        <v>46065</v>
      </c>
      <c r="O36" s="1" t="s">
        <v>30</v>
      </c>
      <c r="P36" s="4">
        <v>2000</v>
      </c>
      <c r="Q36" s="5">
        <v>2</v>
      </c>
      <c r="R36" s="1" t="s">
        <v>38</v>
      </c>
      <c r="S36" s="5">
        <v>250</v>
      </c>
      <c r="T36" s="1" t="s">
        <v>39</v>
      </c>
      <c r="U36" s="4">
        <v>2431.4</v>
      </c>
      <c r="Y36" s="1" t="s">
        <v>58</v>
      </c>
      <c r="Z36" s="3">
        <v>46065</v>
      </c>
      <c r="AA36" s="1" t="s">
        <v>41</v>
      </c>
      <c r="AB36" s="1" t="s">
        <v>208</v>
      </c>
      <c r="AC36" t="b">
        <f t="shared" si="0"/>
        <v>0</v>
      </c>
      <c r="AD36" t="b">
        <f t="shared" si="1"/>
        <v>0</v>
      </c>
      <c r="AE36" t="b">
        <f t="shared" si="2"/>
        <v>0</v>
      </c>
      <c r="AF36" t="b">
        <f t="shared" si="3"/>
        <v>0</v>
      </c>
    </row>
    <row r="37" spans="1:32">
      <c r="A37" t="s">
        <v>209</v>
      </c>
      <c r="B37" s="1" t="s">
        <v>210</v>
      </c>
      <c r="C37" s="2">
        <v>46065.839606481502</v>
      </c>
      <c r="D37" s="1" t="s">
        <v>30</v>
      </c>
      <c r="E37" s="1" t="s">
        <v>205</v>
      </c>
      <c r="F37" s="1" t="s">
        <v>206</v>
      </c>
      <c r="G37" s="3">
        <v>46065</v>
      </c>
      <c r="H37" s="1" t="s">
        <v>207</v>
      </c>
      <c r="I37" s="1" t="s">
        <v>34</v>
      </c>
      <c r="J37" s="1" t="s">
        <v>35</v>
      </c>
      <c r="K37" s="1" t="s">
        <v>211</v>
      </c>
      <c r="L37" t="s">
        <v>206</v>
      </c>
      <c r="N37" s="3">
        <v>46065</v>
      </c>
      <c r="O37" s="1" t="s">
        <v>30</v>
      </c>
      <c r="P37" s="4">
        <v>2000</v>
      </c>
      <c r="Q37" s="5">
        <v>2</v>
      </c>
      <c r="R37" s="1" t="s">
        <v>38</v>
      </c>
      <c r="S37" s="5">
        <v>120</v>
      </c>
      <c r="T37" s="1" t="s">
        <v>39</v>
      </c>
      <c r="U37" s="4">
        <v>2431.4</v>
      </c>
      <c r="Y37" s="1" t="s">
        <v>58</v>
      </c>
      <c r="Z37" s="3">
        <v>46065</v>
      </c>
      <c r="AA37" s="1" t="s">
        <v>41</v>
      </c>
      <c r="AB37" s="1" t="s">
        <v>208</v>
      </c>
      <c r="AC37" t="b">
        <f t="shared" si="0"/>
        <v>0</v>
      </c>
      <c r="AD37" t="b">
        <f t="shared" si="1"/>
        <v>0</v>
      </c>
      <c r="AE37" t="b">
        <f t="shared" si="2"/>
        <v>0</v>
      </c>
      <c r="AF37" t="b">
        <f t="shared" si="3"/>
        <v>0</v>
      </c>
    </row>
    <row r="38" spans="1:32">
      <c r="A38" t="s">
        <v>212</v>
      </c>
      <c r="B38" s="1" t="s">
        <v>213</v>
      </c>
      <c r="C38" s="2">
        <v>46121.616793981499</v>
      </c>
      <c r="D38" s="1" t="s">
        <v>30</v>
      </c>
      <c r="E38" s="1" t="s">
        <v>61</v>
      </c>
      <c r="F38" s="1" t="s">
        <v>49</v>
      </c>
      <c r="G38" s="3">
        <v>46121</v>
      </c>
      <c r="H38" s="1" t="s">
        <v>214</v>
      </c>
      <c r="I38" s="1" t="s">
        <v>63</v>
      </c>
      <c r="J38" s="1" t="s">
        <v>35</v>
      </c>
      <c r="K38" s="1" t="s">
        <v>215</v>
      </c>
      <c r="L38" t="s">
        <v>49</v>
      </c>
      <c r="N38" s="3">
        <v>46121</v>
      </c>
      <c r="O38" s="1" t="s">
        <v>30</v>
      </c>
      <c r="P38" s="4">
        <v>2000</v>
      </c>
      <c r="Q38" s="5">
        <v>1</v>
      </c>
      <c r="R38" s="1" t="s">
        <v>38</v>
      </c>
      <c r="T38" s="1" t="s">
        <v>39</v>
      </c>
      <c r="U38" s="4">
        <v>2507.1999999999998</v>
      </c>
      <c r="V38" s="5">
        <v>0</v>
      </c>
      <c r="W38" s="5">
        <v>8</v>
      </c>
      <c r="Y38" s="1" t="s">
        <v>51</v>
      </c>
      <c r="Z38" s="3">
        <v>46121</v>
      </c>
      <c r="AA38" s="1" t="s">
        <v>41</v>
      </c>
      <c r="AB38" s="1" t="s">
        <v>42</v>
      </c>
      <c r="AC38" t="b">
        <f t="shared" si="0"/>
        <v>0</v>
      </c>
      <c r="AD38" t="b">
        <f t="shared" si="1"/>
        <v>0</v>
      </c>
      <c r="AE38" t="b">
        <f t="shared" si="2"/>
        <v>0</v>
      </c>
      <c r="AF38" t="b">
        <f t="shared" si="3"/>
        <v>0</v>
      </c>
    </row>
    <row r="39" spans="1:32">
      <c r="A39" t="s">
        <v>216</v>
      </c>
      <c r="B39" s="1" t="s">
        <v>217</v>
      </c>
      <c r="C39" s="2">
        <v>46161.880601851903</v>
      </c>
      <c r="D39" s="1" t="s">
        <v>30</v>
      </c>
      <c r="E39" s="1" t="s">
        <v>218</v>
      </c>
      <c r="F39" s="1" t="s">
        <v>101</v>
      </c>
      <c r="G39" s="3">
        <v>46252</v>
      </c>
      <c r="H39" s="1" t="s">
        <v>219</v>
      </c>
      <c r="I39" s="1" t="s">
        <v>34</v>
      </c>
      <c r="J39" s="1" t="s">
        <v>220</v>
      </c>
      <c r="K39" s="1" t="s">
        <v>35</v>
      </c>
      <c r="L39" t="s">
        <v>101</v>
      </c>
      <c r="N39" s="3">
        <v>46161</v>
      </c>
      <c r="O39" s="1" t="s">
        <v>30</v>
      </c>
      <c r="P39" s="4">
        <v>2000</v>
      </c>
      <c r="Q39" s="5">
        <v>1</v>
      </c>
      <c r="R39" s="1" t="s">
        <v>38</v>
      </c>
      <c r="S39" s="5">
        <v>10</v>
      </c>
      <c r="T39" s="1" t="s">
        <v>39</v>
      </c>
      <c r="U39" s="4">
        <v>2564.6</v>
      </c>
      <c r="Y39" s="1" t="s">
        <v>72</v>
      </c>
      <c r="Z39" s="3">
        <v>46252</v>
      </c>
      <c r="AA39" s="1" t="s">
        <v>41</v>
      </c>
      <c r="AB39" s="1" t="s">
        <v>42</v>
      </c>
      <c r="AC39" t="b">
        <f t="shared" si="0"/>
        <v>0</v>
      </c>
      <c r="AD39" t="b">
        <f t="shared" si="1"/>
        <v>0</v>
      </c>
      <c r="AE39" t="b">
        <f t="shared" si="2"/>
        <v>0</v>
      </c>
      <c r="AF39" t="b">
        <f t="shared" si="3"/>
        <v>0</v>
      </c>
    </row>
    <row r="40" spans="1:32">
      <c r="A40" t="s">
        <v>221</v>
      </c>
      <c r="B40" s="1" t="s">
        <v>222</v>
      </c>
      <c r="C40" s="2">
        <v>46037.579398148097</v>
      </c>
      <c r="D40" s="1" t="s">
        <v>30</v>
      </c>
      <c r="E40" s="1" t="s">
        <v>223</v>
      </c>
      <c r="F40" s="1" t="s">
        <v>224</v>
      </c>
      <c r="G40" s="3">
        <v>46037</v>
      </c>
      <c r="H40" s="1" t="s">
        <v>225</v>
      </c>
      <c r="I40" s="1" t="s">
        <v>34</v>
      </c>
      <c r="J40" s="1" t="s">
        <v>35</v>
      </c>
      <c r="K40" s="1" t="s">
        <v>226</v>
      </c>
      <c r="L40" t="s">
        <v>224</v>
      </c>
      <c r="M40" s="1" t="s">
        <v>45</v>
      </c>
      <c r="N40" s="3">
        <v>46037</v>
      </c>
      <c r="O40" s="1" t="s">
        <v>30</v>
      </c>
      <c r="P40" s="4">
        <v>2000</v>
      </c>
      <c r="Q40" s="5">
        <v>1</v>
      </c>
      <c r="R40" s="1" t="s">
        <v>38</v>
      </c>
      <c r="S40" s="5">
        <v>3</v>
      </c>
      <c r="T40" s="1" t="s">
        <v>39</v>
      </c>
      <c r="U40" s="4">
        <v>2385</v>
      </c>
      <c r="Y40" s="1" t="s">
        <v>227</v>
      </c>
      <c r="Z40" s="3">
        <v>46037</v>
      </c>
      <c r="AA40" s="1" t="s">
        <v>41</v>
      </c>
      <c r="AB40" s="1" t="s">
        <v>42</v>
      </c>
      <c r="AC40" t="b">
        <f t="shared" si="0"/>
        <v>0</v>
      </c>
      <c r="AD40" t="b">
        <f t="shared" si="1"/>
        <v>0</v>
      </c>
      <c r="AE40" t="b">
        <f t="shared" si="2"/>
        <v>0</v>
      </c>
      <c r="AF40" t="b">
        <f t="shared" si="3"/>
        <v>0</v>
      </c>
    </row>
    <row r="41" spans="1:32">
      <c r="A41" t="s">
        <v>228</v>
      </c>
      <c r="B41" s="1" t="s">
        <v>229</v>
      </c>
      <c r="C41" s="2">
        <v>46176.764837962997</v>
      </c>
      <c r="D41" s="1" t="s">
        <v>30</v>
      </c>
      <c r="E41" s="1" t="s">
        <v>230</v>
      </c>
      <c r="F41" s="1" t="s">
        <v>69</v>
      </c>
      <c r="G41" s="3">
        <v>46176</v>
      </c>
      <c r="H41" s="1" t="s">
        <v>231</v>
      </c>
      <c r="I41" s="1" t="s">
        <v>34</v>
      </c>
      <c r="J41" s="1" t="s">
        <v>232</v>
      </c>
      <c r="K41" s="1" t="s">
        <v>35</v>
      </c>
      <c r="L41" t="s">
        <v>69</v>
      </c>
      <c r="N41" s="3">
        <v>46176</v>
      </c>
      <c r="O41" s="1" t="s">
        <v>30</v>
      </c>
      <c r="P41" s="4">
        <v>2000</v>
      </c>
      <c r="Q41" s="5">
        <v>1</v>
      </c>
      <c r="R41" s="1" t="s">
        <v>38</v>
      </c>
      <c r="S41" s="5">
        <v>125</v>
      </c>
      <c r="T41" s="1" t="s">
        <v>39</v>
      </c>
      <c r="U41" s="4">
        <v>2565.1999999999998</v>
      </c>
      <c r="Y41" s="1" t="s">
        <v>72</v>
      </c>
      <c r="Z41" s="3">
        <v>46176</v>
      </c>
      <c r="AA41" s="1" t="s">
        <v>41</v>
      </c>
      <c r="AB41" s="1" t="s">
        <v>42</v>
      </c>
      <c r="AC41" t="b">
        <f t="shared" si="0"/>
        <v>0</v>
      </c>
      <c r="AD41" t="b">
        <f t="shared" si="1"/>
        <v>0</v>
      </c>
      <c r="AE41" t="b">
        <f t="shared" si="2"/>
        <v>0</v>
      </c>
      <c r="AF41" t="b">
        <f t="shared" si="3"/>
        <v>0</v>
      </c>
    </row>
    <row r="42" spans="1:32">
      <c r="A42" t="s">
        <v>233</v>
      </c>
      <c r="B42" s="1" t="s">
        <v>234</v>
      </c>
      <c r="C42" s="2">
        <v>46178.617615740703</v>
      </c>
      <c r="D42" s="1" t="s">
        <v>30</v>
      </c>
      <c r="E42" s="1" t="s">
        <v>235</v>
      </c>
      <c r="F42" s="1" t="s">
        <v>55</v>
      </c>
      <c r="H42" s="1" t="s">
        <v>236</v>
      </c>
      <c r="I42" s="1" t="s">
        <v>63</v>
      </c>
      <c r="J42" s="1" t="s">
        <v>144</v>
      </c>
      <c r="K42" s="1" t="s">
        <v>35</v>
      </c>
      <c r="L42" t="s">
        <v>55</v>
      </c>
      <c r="M42" s="1" t="s">
        <v>45</v>
      </c>
      <c r="O42" s="1" t="s">
        <v>30</v>
      </c>
      <c r="P42" s="4">
        <v>2000</v>
      </c>
      <c r="Q42" s="5">
        <v>1</v>
      </c>
      <c r="T42" s="1" t="s">
        <v>39</v>
      </c>
      <c r="U42" s="4">
        <v>2534.6</v>
      </c>
      <c r="V42" s="5">
        <v>0</v>
      </c>
      <c r="W42" s="5">
        <v>2</v>
      </c>
      <c r="Y42" s="1" t="s">
        <v>58</v>
      </c>
      <c r="Z42" s="3">
        <v>46203</v>
      </c>
      <c r="AA42" s="1" t="s">
        <v>237</v>
      </c>
      <c r="AB42" s="1" t="s">
        <v>238</v>
      </c>
      <c r="AC42" t="b">
        <f t="shared" si="0"/>
        <v>0</v>
      </c>
      <c r="AD42" t="b">
        <f t="shared" si="1"/>
        <v>0</v>
      </c>
      <c r="AE42" t="b">
        <f t="shared" si="2"/>
        <v>0</v>
      </c>
      <c r="AF42" t="b">
        <f t="shared" si="3"/>
        <v>0</v>
      </c>
    </row>
    <row r="43" spans="1:32">
      <c r="A43" t="s">
        <v>239</v>
      </c>
      <c r="B43" s="1" t="s">
        <v>240</v>
      </c>
      <c r="C43" s="2">
        <v>46175.881053240701</v>
      </c>
      <c r="D43" s="1" t="s">
        <v>30</v>
      </c>
      <c r="E43" s="1" t="s">
        <v>241</v>
      </c>
      <c r="F43" s="1" t="s">
        <v>242</v>
      </c>
      <c r="G43" s="3">
        <v>46221</v>
      </c>
      <c r="H43" s="1" t="s">
        <v>243</v>
      </c>
      <c r="I43" s="1" t="s">
        <v>34</v>
      </c>
      <c r="J43" s="1" t="s">
        <v>35</v>
      </c>
      <c r="K43" s="1" t="s">
        <v>244</v>
      </c>
      <c r="L43" t="s">
        <v>242</v>
      </c>
      <c r="M43" s="1" t="s">
        <v>37</v>
      </c>
      <c r="N43" s="3">
        <v>46175</v>
      </c>
      <c r="O43" s="1" t="s">
        <v>30</v>
      </c>
      <c r="P43" s="4">
        <v>2000</v>
      </c>
      <c r="Q43" s="5">
        <v>1</v>
      </c>
      <c r="R43" s="1" t="s">
        <v>38</v>
      </c>
      <c r="S43" s="5">
        <v>100</v>
      </c>
      <c r="T43" s="1" t="s">
        <v>39</v>
      </c>
      <c r="U43" s="4">
        <v>2559.1999999999998</v>
      </c>
      <c r="Y43" s="1" t="s">
        <v>115</v>
      </c>
      <c r="Z43" s="3">
        <v>46221</v>
      </c>
      <c r="AA43" s="1" t="s">
        <v>41</v>
      </c>
      <c r="AB43" s="1" t="s">
        <v>42</v>
      </c>
      <c r="AC43" t="b">
        <f t="shared" si="0"/>
        <v>0</v>
      </c>
      <c r="AD43" t="b">
        <f t="shared" si="1"/>
        <v>0</v>
      </c>
      <c r="AE43" t="b">
        <f t="shared" si="2"/>
        <v>0</v>
      </c>
      <c r="AF43" t="b">
        <f t="shared" si="3"/>
        <v>0</v>
      </c>
    </row>
    <row r="44" spans="1:32">
      <c r="A44" t="s">
        <v>245</v>
      </c>
      <c r="B44" s="1" t="s">
        <v>246</v>
      </c>
      <c r="C44" s="2">
        <v>46118.487546296303</v>
      </c>
      <c r="D44" s="1" t="s">
        <v>30</v>
      </c>
      <c r="E44" s="1" t="s">
        <v>247</v>
      </c>
      <c r="F44" s="1" t="s">
        <v>248</v>
      </c>
      <c r="G44" s="3">
        <v>46118</v>
      </c>
      <c r="H44" s="1" t="s">
        <v>249</v>
      </c>
      <c r="I44" s="1" t="s">
        <v>34</v>
      </c>
      <c r="J44" s="1" t="s">
        <v>35</v>
      </c>
      <c r="K44" s="1" t="s">
        <v>36</v>
      </c>
      <c r="L44" t="s">
        <v>248</v>
      </c>
      <c r="M44" s="1" t="s">
        <v>45</v>
      </c>
      <c r="N44" s="3">
        <v>46118</v>
      </c>
      <c r="O44" s="1" t="s">
        <v>30</v>
      </c>
      <c r="P44" s="4">
        <v>2000</v>
      </c>
      <c r="Q44" s="5">
        <v>1</v>
      </c>
      <c r="R44" s="1" t="s">
        <v>38</v>
      </c>
      <c r="S44" s="5">
        <v>100</v>
      </c>
      <c r="T44" s="1" t="s">
        <v>39</v>
      </c>
      <c r="U44" s="4">
        <v>2493.6</v>
      </c>
      <c r="Y44" s="1" t="s">
        <v>58</v>
      </c>
      <c r="Z44" s="3">
        <v>46118</v>
      </c>
      <c r="AA44" s="1" t="s">
        <v>41</v>
      </c>
      <c r="AB44" s="1" t="s">
        <v>208</v>
      </c>
      <c r="AC44" t="b">
        <f t="shared" si="0"/>
        <v>0</v>
      </c>
      <c r="AD44" t="b">
        <f t="shared" si="1"/>
        <v>0</v>
      </c>
      <c r="AE44" t="b">
        <f t="shared" si="2"/>
        <v>0</v>
      </c>
      <c r="AF44" t="b">
        <f t="shared" si="3"/>
        <v>0</v>
      </c>
    </row>
    <row r="45" spans="1:32">
      <c r="A45" t="s">
        <v>250</v>
      </c>
      <c r="B45" s="1" t="s">
        <v>251</v>
      </c>
      <c r="C45" s="2">
        <v>46155.547442129602</v>
      </c>
      <c r="D45" s="1" t="s">
        <v>30</v>
      </c>
      <c r="E45" s="1" t="s">
        <v>252</v>
      </c>
      <c r="F45" s="1" t="s">
        <v>55</v>
      </c>
      <c r="G45" s="3">
        <v>46155</v>
      </c>
      <c r="H45" s="1" t="s">
        <v>253</v>
      </c>
      <c r="I45" s="1" t="s">
        <v>63</v>
      </c>
      <c r="J45" s="1" t="s">
        <v>35</v>
      </c>
      <c r="K45" s="1" t="s">
        <v>232</v>
      </c>
      <c r="L45" t="s">
        <v>55</v>
      </c>
      <c r="N45" s="3">
        <v>46155</v>
      </c>
      <c r="O45" s="1" t="s">
        <v>30</v>
      </c>
      <c r="P45" s="4">
        <v>2080</v>
      </c>
      <c r="Q45" s="5">
        <v>1</v>
      </c>
      <c r="R45" s="1" t="s">
        <v>38</v>
      </c>
      <c r="T45" s="1" t="s">
        <v>39</v>
      </c>
      <c r="U45" s="4">
        <v>2700.26</v>
      </c>
      <c r="V45" s="5">
        <v>2</v>
      </c>
      <c r="W45" s="5">
        <v>0</v>
      </c>
      <c r="Y45" s="1" t="s">
        <v>58</v>
      </c>
      <c r="Z45" s="3">
        <v>46155</v>
      </c>
      <c r="AA45" s="1" t="s">
        <v>41</v>
      </c>
      <c r="AB45" s="1" t="s">
        <v>42</v>
      </c>
      <c r="AC45" t="b">
        <f t="shared" si="0"/>
        <v>0</v>
      </c>
      <c r="AD45" t="b">
        <f t="shared" si="1"/>
        <v>0</v>
      </c>
      <c r="AE45" t="b">
        <f t="shared" si="2"/>
        <v>0</v>
      </c>
      <c r="AF45" t="b">
        <f t="shared" si="3"/>
        <v>0</v>
      </c>
    </row>
    <row r="46" spans="1:32">
      <c r="A46" t="s">
        <v>254</v>
      </c>
      <c r="B46" s="1" t="s">
        <v>255</v>
      </c>
      <c r="C46" s="2">
        <v>46090.734166666698</v>
      </c>
      <c r="D46" s="1" t="s">
        <v>30</v>
      </c>
      <c r="E46" s="1" t="s">
        <v>256</v>
      </c>
      <c r="F46" s="1" t="s">
        <v>49</v>
      </c>
      <c r="G46" s="3">
        <v>46090</v>
      </c>
      <c r="H46" s="1" t="s">
        <v>257</v>
      </c>
      <c r="I46" s="1" t="s">
        <v>34</v>
      </c>
      <c r="J46" s="1" t="s">
        <v>232</v>
      </c>
      <c r="K46" s="1" t="s">
        <v>35</v>
      </c>
      <c r="L46" t="s">
        <v>49</v>
      </c>
      <c r="N46" s="3">
        <v>46090</v>
      </c>
      <c r="O46" s="1" t="s">
        <v>30</v>
      </c>
      <c r="P46" s="4">
        <v>2100</v>
      </c>
      <c r="Q46" s="5">
        <v>1</v>
      </c>
      <c r="R46" s="1" t="s">
        <v>38</v>
      </c>
      <c r="S46" s="5">
        <v>11</v>
      </c>
      <c r="T46" s="1" t="s">
        <v>39</v>
      </c>
      <c r="U46" s="4">
        <v>2592.2399999999998</v>
      </c>
      <c r="Y46" s="1" t="s">
        <v>51</v>
      </c>
      <c r="Z46" s="3">
        <v>46090</v>
      </c>
      <c r="AA46" s="1" t="s">
        <v>41</v>
      </c>
      <c r="AB46" s="1" t="s">
        <v>42</v>
      </c>
      <c r="AC46" t="b">
        <f t="shared" si="0"/>
        <v>0</v>
      </c>
      <c r="AD46" t="b">
        <f t="shared" si="1"/>
        <v>0</v>
      </c>
      <c r="AE46" t="b">
        <f t="shared" si="2"/>
        <v>0</v>
      </c>
      <c r="AF46" t="b">
        <f t="shared" si="3"/>
        <v>0</v>
      </c>
    </row>
    <row r="47" spans="1:32">
      <c r="A47" t="s">
        <v>258</v>
      </c>
      <c r="B47" s="1" t="s">
        <v>259</v>
      </c>
      <c r="C47" s="2">
        <v>46176.6012962963</v>
      </c>
      <c r="D47" s="1" t="s">
        <v>30</v>
      </c>
      <c r="E47" s="1" t="s">
        <v>260</v>
      </c>
      <c r="F47" s="1" t="s">
        <v>49</v>
      </c>
      <c r="G47" s="3">
        <v>46176</v>
      </c>
      <c r="H47" s="1" t="s">
        <v>261</v>
      </c>
      <c r="I47" s="1" t="s">
        <v>34</v>
      </c>
      <c r="J47" s="1" t="s">
        <v>35</v>
      </c>
      <c r="K47" s="1" t="s">
        <v>262</v>
      </c>
      <c r="L47" t="s">
        <v>49</v>
      </c>
      <c r="N47" s="3">
        <v>46176</v>
      </c>
      <c r="O47" s="1" t="s">
        <v>30</v>
      </c>
      <c r="P47" s="4">
        <v>2100</v>
      </c>
      <c r="Q47" s="5">
        <v>1</v>
      </c>
      <c r="R47" s="1" t="s">
        <v>65</v>
      </c>
      <c r="S47" s="5">
        <v>17</v>
      </c>
      <c r="T47" s="1" t="s">
        <v>39</v>
      </c>
      <c r="U47" s="4">
        <v>2687.16</v>
      </c>
      <c r="Y47" s="1" t="s">
        <v>51</v>
      </c>
      <c r="Z47" s="3">
        <v>46176</v>
      </c>
      <c r="AA47" s="1" t="s">
        <v>41</v>
      </c>
      <c r="AB47" s="1" t="s">
        <v>42</v>
      </c>
      <c r="AC47" t="b">
        <f t="shared" si="0"/>
        <v>0</v>
      </c>
      <c r="AD47" t="b">
        <f t="shared" si="1"/>
        <v>0</v>
      </c>
      <c r="AE47" t="b">
        <f t="shared" si="2"/>
        <v>0</v>
      </c>
      <c r="AF47" t="b">
        <f t="shared" si="3"/>
        <v>0</v>
      </c>
    </row>
    <row r="48" spans="1:32">
      <c r="A48" t="s">
        <v>263</v>
      </c>
      <c r="B48" s="1" t="s">
        <v>264</v>
      </c>
      <c r="C48" s="2">
        <v>46029.815833333298</v>
      </c>
      <c r="D48" s="1" t="s">
        <v>30</v>
      </c>
      <c r="E48" s="1" t="s">
        <v>265</v>
      </c>
      <c r="F48" s="1" t="s">
        <v>266</v>
      </c>
      <c r="G48" s="3">
        <v>46029</v>
      </c>
      <c r="H48" s="1" t="s">
        <v>267</v>
      </c>
      <c r="I48" s="1" t="s">
        <v>34</v>
      </c>
      <c r="J48" s="1" t="s">
        <v>35</v>
      </c>
      <c r="K48" s="1" t="s">
        <v>78</v>
      </c>
      <c r="L48" t="s">
        <v>266</v>
      </c>
      <c r="N48" s="3">
        <v>46029</v>
      </c>
      <c r="O48" s="1" t="s">
        <v>30</v>
      </c>
      <c r="P48" s="4">
        <v>2300</v>
      </c>
      <c r="Q48" s="5">
        <v>10</v>
      </c>
      <c r="R48" s="1" t="s">
        <v>65</v>
      </c>
      <c r="S48" s="5">
        <v>2000</v>
      </c>
      <c r="T48" s="1" t="s">
        <v>39</v>
      </c>
      <c r="U48" s="4">
        <v>2731.02</v>
      </c>
      <c r="Y48" s="1" t="s">
        <v>72</v>
      </c>
      <c r="Z48" s="3">
        <v>46029</v>
      </c>
      <c r="AA48" s="1" t="s">
        <v>41</v>
      </c>
      <c r="AB48" s="1" t="s">
        <v>42</v>
      </c>
      <c r="AC48" t="b">
        <f t="shared" si="0"/>
        <v>0</v>
      </c>
      <c r="AD48" t="b">
        <f t="shared" si="1"/>
        <v>0</v>
      </c>
      <c r="AE48" t="b">
        <f t="shared" si="2"/>
        <v>0</v>
      </c>
      <c r="AF48" t="b">
        <f t="shared" si="3"/>
        <v>0</v>
      </c>
    </row>
    <row r="49" spans="1:32">
      <c r="A49" t="s">
        <v>268</v>
      </c>
      <c r="B49" s="1" t="s">
        <v>269</v>
      </c>
      <c r="C49" s="2">
        <v>46161.902118055601</v>
      </c>
      <c r="D49" s="1" t="s">
        <v>30</v>
      </c>
      <c r="E49" s="1" t="s">
        <v>100</v>
      </c>
      <c r="F49" s="1" t="s">
        <v>101</v>
      </c>
      <c r="G49" s="3">
        <v>46203</v>
      </c>
      <c r="H49" s="1" t="s">
        <v>270</v>
      </c>
      <c r="I49" s="1" t="s">
        <v>34</v>
      </c>
      <c r="J49" s="1" t="s">
        <v>35</v>
      </c>
      <c r="K49" s="1" t="s">
        <v>215</v>
      </c>
      <c r="L49" t="s">
        <v>101</v>
      </c>
      <c r="N49" s="3">
        <v>46161</v>
      </c>
      <c r="O49" s="1" t="s">
        <v>30</v>
      </c>
      <c r="P49" s="4">
        <v>2300</v>
      </c>
      <c r="Q49" s="5">
        <v>2</v>
      </c>
      <c r="R49" s="1" t="s">
        <v>38</v>
      </c>
      <c r="S49" s="5">
        <v>160</v>
      </c>
      <c r="T49" s="1" t="s">
        <v>39</v>
      </c>
      <c r="U49" s="4">
        <v>2949.29</v>
      </c>
      <c r="Y49" s="1" t="s">
        <v>72</v>
      </c>
      <c r="Z49" s="3">
        <v>46203</v>
      </c>
      <c r="AA49" s="1" t="s">
        <v>41</v>
      </c>
      <c r="AB49" s="1" t="s">
        <v>42</v>
      </c>
      <c r="AC49" t="b">
        <f t="shared" si="0"/>
        <v>0</v>
      </c>
      <c r="AD49" t="b">
        <f t="shared" si="1"/>
        <v>0</v>
      </c>
      <c r="AE49" t="b">
        <f t="shared" si="2"/>
        <v>0</v>
      </c>
      <c r="AF49" t="b">
        <f t="shared" si="3"/>
        <v>0</v>
      </c>
    </row>
    <row r="50" spans="1:32">
      <c r="A50" t="s">
        <v>271</v>
      </c>
      <c r="B50" s="1" t="s">
        <v>272</v>
      </c>
      <c r="C50" s="2">
        <v>46119.651469907403</v>
      </c>
      <c r="D50" s="1" t="s">
        <v>30</v>
      </c>
      <c r="E50" s="1" t="s">
        <v>273</v>
      </c>
      <c r="F50" s="1" t="s">
        <v>274</v>
      </c>
      <c r="G50" s="3">
        <v>46142</v>
      </c>
      <c r="H50" s="1" t="s">
        <v>275</v>
      </c>
      <c r="I50" s="1" t="s">
        <v>63</v>
      </c>
      <c r="J50" s="1" t="s">
        <v>35</v>
      </c>
      <c r="K50" s="1" t="s">
        <v>64</v>
      </c>
      <c r="L50" t="s">
        <v>274</v>
      </c>
      <c r="M50" s="1" t="s">
        <v>37</v>
      </c>
      <c r="N50" s="3">
        <v>46090</v>
      </c>
      <c r="O50" s="1" t="s">
        <v>30</v>
      </c>
      <c r="P50" s="4">
        <v>2313</v>
      </c>
      <c r="Q50" s="5">
        <v>1</v>
      </c>
      <c r="R50" s="1" t="s">
        <v>38</v>
      </c>
      <c r="T50" s="1" t="s">
        <v>39</v>
      </c>
      <c r="U50" s="4">
        <v>2855.17</v>
      </c>
      <c r="V50" s="5">
        <v>0</v>
      </c>
      <c r="W50" s="5">
        <v>2</v>
      </c>
      <c r="Y50" s="1" t="s">
        <v>72</v>
      </c>
      <c r="Z50" s="3">
        <v>46142</v>
      </c>
      <c r="AA50" s="1" t="s">
        <v>41</v>
      </c>
      <c r="AB50" s="1" t="s">
        <v>42</v>
      </c>
      <c r="AC50" t="b">
        <f t="shared" si="0"/>
        <v>0</v>
      </c>
      <c r="AD50" t="b">
        <f t="shared" si="1"/>
        <v>0</v>
      </c>
      <c r="AE50" t="b">
        <f t="shared" si="2"/>
        <v>0</v>
      </c>
      <c r="AF50" t="b">
        <f t="shared" si="3"/>
        <v>0</v>
      </c>
    </row>
    <row r="51" spans="1:32">
      <c r="A51" t="s">
        <v>276</v>
      </c>
      <c r="B51" s="1" t="s">
        <v>277</v>
      </c>
      <c r="C51" s="2">
        <v>46062.584074074097</v>
      </c>
      <c r="D51" s="1" t="s">
        <v>30</v>
      </c>
      <c r="E51" s="1" t="s">
        <v>278</v>
      </c>
      <c r="F51" s="1" t="s">
        <v>112</v>
      </c>
      <c r="G51" s="3">
        <v>46073</v>
      </c>
      <c r="H51" s="1" t="s">
        <v>279</v>
      </c>
      <c r="I51" s="1" t="s">
        <v>34</v>
      </c>
      <c r="J51" s="1" t="s">
        <v>35</v>
      </c>
      <c r="K51" s="1" t="s">
        <v>280</v>
      </c>
      <c r="L51" t="s">
        <v>112</v>
      </c>
      <c r="M51" s="1" t="s">
        <v>45</v>
      </c>
      <c r="N51" s="3">
        <v>46062</v>
      </c>
      <c r="O51" s="1" t="s">
        <v>30</v>
      </c>
      <c r="P51" s="4">
        <v>2350</v>
      </c>
      <c r="Q51" s="5">
        <v>1</v>
      </c>
      <c r="R51" s="1" t="s">
        <v>38</v>
      </c>
      <c r="S51" s="5">
        <v>724</v>
      </c>
      <c r="T51" s="1" t="s">
        <v>39</v>
      </c>
      <c r="U51" s="4">
        <v>2835.28</v>
      </c>
      <c r="Y51" s="1" t="s">
        <v>115</v>
      </c>
      <c r="Z51" s="3">
        <v>46073</v>
      </c>
      <c r="AA51" s="1" t="s">
        <v>41</v>
      </c>
      <c r="AB51" s="1" t="s">
        <v>42</v>
      </c>
      <c r="AC51" t="b">
        <f t="shared" si="0"/>
        <v>0</v>
      </c>
      <c r="AD51" t="b">
        <f t="shared" si="1"/>
        <v>0</v>
      </c>
      <c r="AE51" t="b">
        <f t="shared" si="2"/>
        <v>0</v>
      </c>
      <c r="AF51" t="b">
        <f t="shared" si="3"/>
        <v>0</v>
      </c>
    </row>
    <row r="52" spans="1:32">
      <c r="A52" t="s">
        <v>281</v>
      </c>
      <c r="B52" s="1" t="s">
        <v>282</v>
      </c>
      <c r="C52" s="2">
        <v>46149.794976851903</v>
      </c>
      <c r="D52" s="1" t="s">
        <v>30</v>
      </c>
      <c r="E52" s="1" t="s">
        <v>283</v>
      </c>
      <c r="F52" s="1" t="s">
        <v>284</v>
      </c>
      <c r="G52" s="3">
        <v>46140</v>
      </c>
      <c r="H52" s="1" t="s">
        <v>285</v>
      </c>
      <c r="I52" s="1" t="s">
        <v>34</v>
      </c>
      <c r="J52" s="1" t="s">
        <v>35</v>
      </c>
      <c r="K52" s="1" t="s">
        <v>36</v>
      </c>
      <c r="L52" t="s">
        <v>284</v>
      </c>
      <c r="N52" s="3">
        <v>46149</v>
      </c>
      <c r="O52" s="1" t="s">
        <v>30</v>
      </c>
      <c r="P52" s="4">
        <v>2400</v>
      </c>
      <c r="Q52" s="5">
        <v>1</v>
      </c>
      <c r="R52" s="1" t="s">
        <v>38</v>
      </c>
      <c r="S52" s="5">
        <v>52</v>
      </c>
      <c r="T52" s="1" t="s">
        <v>39</v>
      </c>
      <c r="U52" s="4">
        <v>3114.24</v>
      </c>
      <c r="Y52" s="1" t="s">
        <v>286</v>
      </c>
      <c r="Z52" s="3">
        <v>46140</v>
      </c>
      <c r="AA52" s="1" t="s">
        <v>41</v>
      </c>
      <c r="AB52" s="1" t="s">
        <v>42</v>
      </c>
      <c r="AC52" t="b">
        <f t="shared" si="0"/>
        <v>0</v>
      </c>
      <c r="AD52" t="b">
        <f t="shared" si="1"/>
        <v>0</v>
      </c>
      <c r="AE52" t="b">
        <f t="shared" si="2"/>
        <v>0</v>
      </c>
      <c r="AF52" t="b">
        <f t="shared" si="3"/>
        <v>0</v>
      </c>
    </row>
    <row r="53" spans="1:32">
      <c r="A53" t="s">
        <v>287</v>
      </c>
      <c r="B53" s="1" t="s">
        <v>288</v>
      </c>
      <c r="C53" s="2">
        <v>46042.570138888899</v>
      </c>
      <c r="D53" s="1" t="s">
        <v>30</v>
      </c>
      <c r="E53" s="1" t="s">
        <v>289</v>
      </c>
      <c r="F53" s="1" t="s">
        <v>284</v>
      </c>
      <c r="G53" s="3">
        <v>46042</v>
      </c>
      <c r="H53" s="1" t="s">
        <v>290</v>
      </c>
      <c r="I53" s="1" t="s">
        <v>34</v>
      </c>
      <c r="J53" s="1" t="s">
        <v>35</v>
      </c>
      <c r="K53" s="1" t="s">
        <v>108</v>
      </c>
      <c r="L53" t="s">
        <v>284</v>
      </c>
      <c r="N53" s="3">
        <v>46042</v>
      </c>
      <c r="O53" s="1" t="s">
        <v>30</v>
      </c>
      <c r="P53" s="4">
        <v>2500</v>
      </c>
      <c r="Q53" s="5">
        <v>1</v>
      </c>
      <c r="R53" s="1" t="s">
        <v>38</v>
      </c>
      <c r="S53" s="5">
        <v>126</v>
      </c>
      <c r="T53" s="1" t="s">
        <v>39</v>
      </c>
      <c r="U53" s="4">
        <v>2992</v>
      </c>
      <c r="Y53" s="1" t="s">
        <v>286</v>
      </c>
      <c r="Z53" s="3">
        <v>46042</v>
      </c>
      <c r="AA53" s="1" t="s">
        <v>41</v>
      </c>
      <c r="AB53" s="1" t="s">
        <v>42</v>
      </c>
      <c r="AC53" t="b">
        <f t="shared" si="0"/>
        <v>0</v>
      </c>
      <c r="AD53" t="b">
        <f t="shared" si="1"/>
        <v>0</v>
      </c>
      <c r="AE53" t="b">
        <f t="shared" si="2"/>
        <v>0</v>
      </c>
      <c r="AF53" t="b">
        <f t="shared" si="3"/>
        <v>0</v>
      </c>
    </row>
    <row r="54" spans="1:32">
      <c r="A54" t="s">
        <v>291</v>
      </c>
      <c r="B54" s="1" t="s">
        <v>292</v>
      </c>
      <c r="C54" s="2">
        <v>46055.853587963</v>
      </c>
      <c r="D54" s="1" t="s">
        <v>30</v>
      </c>
      <c r="E54" s="1" t="s">
        <v>293</v>
      </c>
      <c r="F54" s="1" t="s">
        <v>294</v>
      </c>
      <c r="G54" s="3">
        <v>46055</v>
      </c>
      <c r="H54" s="1" t="s">
        <v>295</v>
      </c>
      <c r="I54" s="1" t="s">
        <v>63</v>
      </c>
      <c r="J54" s="1" t="s">
        <v>296</v>
      </c>
      <c r="K54" s="1" t="s">
        <v>35</v>
      </c>
      <c r="L54" t="s">
        <v>294</v>
      </c>
      <c r="M54" s="1" t="s">
        <v>45</v>
      </c>
      <c r="N54" s="3">
        <v>46055</v>
      </c>
      <c r="O54" s="1" t="s">
        <v>30</v>
      </c>
      <c r="P54" s="4">
        <v>2500</v>
      </c>
      <c r="Q54" s="5">
        <v>1</v>
      </c>
      <c r="R54" s="1" t="s">
        <v>38</v>
      </c>
      <c r="T54" s="1" t="s">
        <v>39</v>
      </c>
      <c r="U54" s="4">
        <v>3005.5</v>
      </c>
      <c r="V54" s="5">
        <v>0</v>
      </c>
      <c r="W54" s="5">
        <v>3</v>
      </c>
      <c r="Y54" s="1" t="s">
        <v>58</v>
      </c>
      <c r="Z54" s="3">
        <v>46055</v>
      </c>
      <c r="AA54" s="1" t="s">
        <v>41</v>
      </c>
      <c r="AB54" s="1" t="s">
        <v>42</v>
      </c>
      <c r="AC54" t="b">
        <f t="shared" si="0"/>
        <v>0</v>
      </c>
      <c r="AD54" t="b">
        <f t="shared" si="1"/>
        <v>0</v>
      </c>
      <c r="AE54" t="b">
        <f t="shared" si="2"/>
        <v>0</v>
      </c>
      <c r="AF54" t="b">
        <f t="shared" si="3"/>
        <v>0</v>
      </c>
    </row>
    <row r="55" spans="1:32">
      <c r="A55" t="s">
        <v>297</v>
      </c>
      <c r="B55" s="1" t="s">
        <v>298</v>
      </c>
      <c r="C55" s="2">
        <v>46120.812060185199</v>
      </c>
      <c r="D55" s="1" t="s">
        <v>30</v>
      </c>
      <c r="E55" s="1" t="s">
        <v>299</v>
      </c>
      <c r="F55" s="1" t="s">
        <v>300</v>
      </c>
      <c r="G55" s="3">
        <v>46142</v>
      </c>
      <c r="H55" s="1" t="s">
        <v>301</v>
      </c>
      <c r="I55" s="1" t="s">
        <v>34</v>
      </c>
      <c r="J55" s="1" t="s">
        <v>71</v>
      </c>
      <c r="K55" s="1" t="s">
        <v>35</v>
      </c>
      <c r="L55" t="s">
        <v>300</v>
      </c>
      <c r="M55" s="1" t="s">
        <v>37</v>
      </c>
      <c r="N55" s="3">
        <v>46120</v>
      </c>
      <c r="O55" s="1" t="s">
        <v>30</v>
      </c>
      <c r="P55" s="4">
        <v>2678</v>
      </c>
      <c r="Q55" s="5">
        <v>1</v>
      </c>
      <c r="R55" s="1" t="s">
        <v>38</v>
      </c>
      <c r="S55" s="5">
        <v>163</v>
      </c>
      <c r="T55" s="1" t="s">
        <v>39</v>
      </c>
      <c r="U55" s="4">
        <v>3357.14</v>
      </c>
      <c r="Y55" s="1" t="s">
        <v>58</v>
      </c>
      <c r="Z55" s="3">
        <v>46142</v>
      </c>
      <c r="AA55" s="1" t="s">
        <v>41</v>
      </c>
      <c r="AB55" s="1" t="s">
        <v>208</v>
      </c>
      <c r="AC55" t="b">
        <f t="shared" si="0"/>
        <v>1</v>
      </c>
      <c r="AD55" t="b">
        <f t="shared" si="1"/>
        <v>0</v>
      </c>
      <c r="AE55" t="b">
        <f t="shared" si="2"/>
        <v>0</v>
      </c>
      <c r="AF55" t="b">
        <f t="shared" si="3"/>
        <v>0</v>
      </c>
    </row>
    <row r="56" spans="1:32">
      <c r="A56" t="s">
        <v>302</v>
      </c>
      <c r="B56" s="1" t="s">
        <v>303</v>
      </c>
      <c r="C56" s="2">
        <v>46104.589953703697</v>
      </c>
      <c r="D56" s="1" t="s">
        <v>30</v>
      </c>
      <c r="E56" s="1" t="s">
        <v>304</v>
      </c>
      <c r="F56" s="1" t="s">
        <v>112</v>
      </c>
      <c r="G56" s="3">
        <v>46115</v>
      </c>
      <c r="H56" s="1" t="s">
        <v>305</v>
      </c>
      <c r="I56" s="1" t="s">
        <v>34</v>
      </c>
      <c r="J56" s="1" t="s">
        <v>35</v>
      </c>
      <c r="K56" s="1" t="s">
        <v>244</v>
      </c>
      <c r="L56" t="s">
        <v>112</v>
      </c>
      <c r="M56" s="1" t="s">
        <v>45</v>
      </c>
      <c r="N56" s="3">
        <v>46104</v>
      </c>
      <c r="O56" s="1" t="s">
        <v>30</v>
      </c>
      <c r="P56" s="4">
        <v>2733</v>
      </c>
      <c r="Q56" s="5">
        <v>1</v>
      </c>
      <c r="R56" s="1" t="s">
        <v>38</v>
      </c>
      <c r="S56" s="5">
        <v>131</v>
      </c>
      <c r="T56" s="1" t="s">
        <v>39</v>
      </c>
      <c r="U56" s="4">
        <v>3365.42</v>
      </c>
      <c r="Y56" s="1" t="s">
        <v>115</v>
      </c>
      <c r="Z56" s="3">
        <v>46115</v>
      </c>
      <c r="AA56" s="1" t="s">
        <v>41</v>
      </c>
      <c r="AB56" s="1" t="s">
        <v>42</v>
      </c>
      <c r="AC56" t="b">
        <f t="shared" si="0"/>
        <v>0</v>
      </c>
      <c r="AD56" t="b">
        <f t="shared" si="1"/>
        <v>0</v>
      </c>
      <c r="AE56" t="b">
        <f t="shared" si="2"/>
        <v>0</v>
      </c>
      <c r="AF56" t="b">
        <f t="shared" si="3"/>
        <v>0</v>
      </c>
    </row>
    <row r="57" spans="1:32">
      <c r="A57" t="s">
        <v>306</v>
      </c>
      <c r="B57" s="1" t="s">
        <v>307</v>
      </c>
      <c r="C57" s="2">
        <v>46101.712256944404</v>
      </c>
      <c r="D57" s="1" t="s">
        <v>30</v>
      </c>
      <c r="E57" s="1" t="s">
        <v>308</v>
      </c>
      <c r="F57" s="1" t="s">
        <v>49</v>
      </c>
      <c r="G57" s="3">
        <v>46101</v>
      </c>
      <c r="H57" s="1" t="s">
        <v>309</v>
      </c>
      <c r="I57" s="1" t="s">
        <v>34</v>
      </c>
      <c r="J57" s="1" t="s">
        <v>244</v>
      </c>
      <c r="K57" s="1" t="s">
        <v>35</v>
      </c>
      <c r="L57" t="s">
        <v>49</v>
      </c>
      <c r="N57" s="3">
        <v>46101</v>
      </c>
      <c r="O57" s="1" t="s">
        <v>30</v>
      </c>
      <c r="P57" s="4">
        <v>3000</v>
      </c>
      <c r="Q57" s="5">
        <v>1</v>
      </c>
      <c r="R57" s="1" t="s">
        <v>65</v>
      </c>
      <c r="S57" s="5">
        <v>12</v>
      </c>
      <c r="T57" s="1" t="s">
        <v>39</v>
      </c>
      <c r="U57" s="4">
        <v>3725.7</v>
      </c>
      <c r="Y57" s="1" t="s">
        <v>51</v>
      </c>
      <c r="Z57" s="3">
        <v>46101</v>
      </c>
      <c r="AA57" s="1" t="s">
        <v>41</v>
      </c>
      <c r="AB57" s="1" t="s">
        <v>42</v>
      </c>
      <c r="AC57" t="b">
        <f t="shared" si="0"/>
        <v>0</v>
      </c>
      <c r="AD57" t="b">
        <f t="shared" si="1"/>
        <v>0</v>
      </c>
      <c r="AE57" t="b">
        <f t="shared" si="2"/>
        <v>0</v>
      </c>
      <c r="AF57" t="b">
        <f t="shared" si="3"/>
        <v>0</v>
      </c>
    </row>
    <row r="58" spans="1:32">
      <c r="A58" t="s">
        <v>310</v>
      </c>
      <c r="B58" s="1" t="s">
        <v>311</v>
      </c>
      <c r="C58" s="2">
        <v>46106.816053240698</v>
      </c>
      <c r="D58" s="1" t="s">
        <v>30</v>
      </c>
      <c r="E58" s="1" t="s">
        <v>312</v>
      </c>
      <c r="F58" s="1" t="s">
        <v>313</v>
      </c>
      <c r="G58" s="3">
        <v>46106</v>
      </c>
      <c r="H58" s="1" t="s">
        <v>314</v>
      </c>
      <c r="I58" s="1" t="s">
        <v>34</v>
      </c>
      <c r="J58" s="1" t="s">
        <v>35</v>
      </c>
      <c r="K58" s="1" t="s">
        <v>315</v>
      </c>
      <c r="L58" t="s">
        <v>313</v>
      </c>
      <c r="M58" s="1" t="s">
        <v>45</v>
      </c>
      <c r="N58" s="3">
        <v>46106</v>
      </c>
      <c r="O58" s="1" t="s">
        <v>30</v>
      </c>
      <c r="P58" s="4">
        <v>3000</v>
      </c>
      <c r="Q58" s="5">
        <v>1</v>
      </c>
      <c r="R58" s="1" t="s">
        <v>38</v>
      </c>
      <c r="S58" s="5">
        <v>114</v>
      </c>
      <c r="T58" s="1" t="s">
        <v>39</v>
      </c>
      <c r="U58" s="4">
        <v>3696.3</v>
      </c>
      <c r="Y58" s="1" t="s">
        <v>40</v>
      </c>
      <c r="Z58" s="3">
        <v>46106</v>
      </c>
      <c r="AA58" s="1" t="s">
        <v>41</v>
      </c>
      <c r="AB58" s="1" t="s">
        <v>42</v>
      </c>
      <c r="AC58" t="b">
        <f t="shared" si="0"/>
        <v>0</v>
      </c>
      <c r="AD58" t="b">
        <f t="shared" si="1"/>
        <v>0</v>
      </c>
      <c r="AE58" t="b">
        <f t="shared" si="2"/>
        <v>0</v>
      </c>
      <c r="AF58" t="b">
        <f t="shared" si="3"/>
        <v>0</v>
      </c>
    </row>
    <row r="59" spans="1:32">
      <c r="A59" t="s">
        <v>316</v>
      </c>
      <c r="B59" s="1" t="s">
        <v>317</v>
      </c>
      <c r="C59" s="2">
        <v>46148.524027777799</v>
      </c>
      <c r="D59" s="1" t="s">
        <v>30</v>
      </c>
      <c r="E59" s="1" t="s">
        <v>318</v>
      </c>
      <c r="F59" s="1" t="s">
        <v>69</v>
      </c>
      <c r="G59" s="3">
        <v>46148</v>
      </c>
      <c r="H59" s="1" t="s">
        <v>319</v>
      </c>
      <c r="I59" s="1" t="s">
        <v>97</v>
      </c>
      <c r="J59" s="1" t="s">
        <v>35</v>
      </c>
      <c r="K59" s="1" t="s">
        <v>35</v>
      </c>
      <c r="L59" t="s">
        <v>69</v>
      </c>
      <c r="N59" s="3">
        <v>46148</v>
      </c>
      <c r="O59" s="1" t="s">
        <v>30</v>
      </c>
      <c r="P59" s="4">
        <v>3000</v>
      </c>
      <c r="Q59" s="5">
        <v>1</v>
      </c>
      <c r="R59" s="1" t="s">
        <v>38</v>
      </c>
      <c r="T59" s="1" t="s">
        <v>39</v>
      </c>
      <c r="U59" s="4">
        <v>3877.5</v>
      </c>
      <c r="Y59" s="1" t="s">
        <v>72</v>
      </c>
      <c r="Z59" s="3">
        <v>46148</v>
      </c>
      <c r="AA59" s="1" t="s">
        <v>41</v>
      </c>
      <c r="AB59" s="1" t="s">
        <v>42</v>
      </c>
      <c r="AC59" t="b">
        <f t="shared" si="0"/>
        <v>0</v>
      </c>
      <c r="AD59" t="b">
        <f t="shared" si="1"/>
        <v>0</v>
      </c>
      <c r="AE59" t="b">
        <f t="shared" si="2"/>
        <v>0</v>
      </c>
      <c r="AF59" t="b">
        <f t="shared" si="3"/>
        <v>0</v>
      </c>
    </row>
    <row r="60" spans="1:32">
      <c r="A60" t="s">
        <v>320</v>
      </c>
      <c r="B60" s="1" t="s">
        <v>321</v>
      </c>
      <c r="C60" s="2">
        <v>46090.574293981503</v>
      </c>
      <c r="D60" s="1" t="s">
        <v>30</v>
      </c>
      <c r="E60" s="1" t="s">
        <v>322</v>
      </c>
      <c r="F60" s="1" t="s">
        <v>69</v>
      </c>
      <c r="G60" s="3">
        <v>46090</v>
      </c>
      <c r="H60" s="1" t="s">
        <v>323</v>
      </c>
      <c r="I60" s="1" t="s">
        <v>63</v>
      </c>
      <c r="J60" s="1" t="s">
        <v>324</v>
      </c>
      <c r="K60" s="1" t="s">
        <v>35</v>
      </c>
      <c r="L60" t="s">
        <v>69</v>
      </c>
      <c r="N60" s="3">
        <v>46090</v>
      </c>
      <c r="O60" s="1" t="s">
        <v>30</v>
      </c>
      <c r="P60" s="4">
        <v>3000</v>
      </c>
      <c r="Q60" s="5">
        <v>3</v>
      </c>
      <c r="R60" s="1" t="s">
        <v>38</v>
      </c>
      <c r="T60" s="1" t="s">
        <v>39</v>
      </c>
      <c r="U60" s="4">
        <v>3665.7</v>
      </c>
      <c r="V60" s="5">
        <v>0</v>
      </c>
      <c r="W60" s="5">
        <v>10</v>
      </c>
      <c r="Y60" s="1" t="s">
        <v>72</v>
      </c>
      <c r="Z60" s="3">
        <v>46090</v>
      </c>
      <c r="AA60" s="1" t="s">
        <v>41</v>
      </c>
      <c r="AB60" s="1" t="s">
        <v>42</v>
      </c>
      <c r="AC60" t="b">
        <f t="shared" si="0"/>
        <v>0</v>
      </c>
      <c r="AD60" t="b">
        <f t="shared" si="1"/>
        <v>0</v>
      </c>
      <c r="AE60" t="b">
        <f t="shared" si="2"/>
        <v>0</v>
      </c>
      <c r="AF60" t="b">
        <f t="shared" si="3"/>
        <v>0</v>
      </c>
    </row>
    <row r="61" spans="1:32">
      <c r="A61" t="s">
        <v>325</v>
      </c>
      <c r="B61" s="1" t="s">
        <v>326</v>
      </c>
      <c r="C61" s="2">
        <v>46084.918807870403</v>
      </c>
      <c r="D61" s="1" t="s">
        <v>30</v>
      </c>
      <c r="E61" s="1" t="s">
        <v>327</v>
      </c>
      <c r="F61" s="1" t="s">
        <v>328</v>
      </c>
      <c r="G61" s="3">
        <v>46110</v>
      </c>
      <c r="H61" s="1" t="s">
        <v>329</v>
      </c>
      <c r="I61" s="1" t="s">
        <v>34</v>
      </c>
      <c r="J61" s="1" t="s">
        <v>35</v>
      </c>
      <c r="K61" s="1" t="s">
        <v>57</v>
      </c>
      <c r="L61" t="s">
        <v>328</v>
      </c>
      <c r="M61" s="1" t="s">
        <v>37</v>
      </c>
      <c r="N61" s="3">
        <v>46084</v>
      </c>
      <c r="O61" s="1" t="s">
        <v>30</v>
      </c>
      <c r="P61" s="4">
        <v>3096</v>
      </c>
      <c r="Q61" s="5">
        <v>1</v>
      </c>
      <c r="R61" s="1" t="s">
        <v>38</v>
      </c>
      <c r="S61" s="5">
        <v>850</v>
      </c>
      <c r="T61" s="1" t="s">
        <v>39</v>
      </c>
      <c r="U61" s="4">
        <v>3798.48</v>
      </c>
      <c r="Y61" s="1" t="s">
        <v>72</v>
      </c>
      <c r="Z61" s="3">
        <v>46110</v>
      </c>
      <c r="AA61" s="1" t="s">
        <v>41</v>
      </c>
      <c r="AB61" s="1" t="s">
        <v>42</v>
      </c>
      <c r="AC61" t="b">
        <f t="shared" si="0"/>
        <v>0</v>
      </c>
      <c r="AD61" t="b">
        <f t="shared" si="1"/>
        <v>0</v>
      </c>
      <c r="AE61" t="b">
        <f t="shared" si="2"/>
        <v>0</v>
      </c>
      <c r="AF61" t="b">
        <f t="shared" si="3"/>
        <v>0</v>
      </c>
    </row>
    <row r="62" spans="1:32">
      <c r="A62" t="s">
        <v>330</v>
      </c>
      <c r="B62" s="1" t="s">
        <v>331</v>
      </c>
      <c r="C62" s="2">
        <v>46155.3180208333</v>
      </c>
      <c r="D62" s="1" t="s">
        <v>30</v>
      </c>
      <c r="E62" s="1" t="s">
        <v>332</v>
      </c>
      <c r="F62" s="1" t="s">
        <v>200</v>
      </c>
      <c r="G62" s="3">
        <v>46155</v>
      </c>
      <c r="H62" s="1" t="s">
        <v>333</v>
      </c>
      <c r="I62" s="1" t="s">
        <v>34</v>
      </c>
      <c r="J62" s="1" t="s">
        <v>35</v>
      </c>
      <c r="K62" s="1" t="s">
        <v>57</v>
      </c>
      <c r="L62" t="s">
        <v>200</v>
      </c>
      <c r="M62" s="1" t="s">
        <v>37</v>
      </c>
      <c r="N62" s="3">
        <v>46155</v>
      </c>
      <c r="O62" s="1" t="s">
        <v>30</v>
      </c>
      <c r="P62" s="4">
        <v>3300</v>
      </c>
      <c r="Q62" s="5">
        <v>1</v>
      </c>
      <c r="R62" s="1" t="s">
        <v>38</v>
      </c>
      <c r="S62" s="5">
        <v>154</v>
      </c>
      <c r="T62" s="1" t="s">
        <v>39</v>
      </c>
      <c r="U62" s="4">
        <v>4284.0600000000004</v>
      </c>
      <c r="Y62" s="1" t="s">
        <v>40</v>
      </c>
      <c r="Z62" s="3">
        <v>46155</v>
      </c>
      <c r="AA62" s="1" t="s">
        <v>41</v>
      </c>
      <c r="AB62" s="1" t="s">
        <v>42</v>
      </c>
      <c r="AC62" t="b">
        <f t="shared" si="0"/>
        <v>0</v>
      </c>
      <c r="AD62" t="b">
        <f t="shared" si="1"/>
        <v>0</v>
      </c>
      <c r="AE62" t="b">
        <f t="shared" si="2"/>
        <v>0</v>
      </c>
      <c r="AF62" t="b">
        <f t="shared" si="3"/>
        <v>0</v>
      </c>
    </row>
    <row r="63" spans="1:32">
      <c r="A63" t="s">
        <v>334</v>
      </c>
      <c r="B63" s="1" t="s">
        <v>335</v>
      </c>
      <c r="C63" s="2">
        <v>46160.816087963001</v>
      </c>
      <c r="D63" s="1" t="s">
        <v>30</v>
      </c>
      <c r="E63" s="1" t="s">
        <v>336</v>
      </c>
      <c r="F63" s="1" t="s">
        <v>89</v>
      </c>
      <c r="G63" s="3">
        <v>46161</v>
      </c>
      <c r="H63" s="1" t="s">
        <v>337</v>
      </c>
      <c r="I63" s="1" t="s">
        <v>34</v>
      </c>
      <c r="J63" s="1" t="s">
        <v>57</v>
      </c>
      <c r="K63" s="1" t="s">
        <v>35</v>
      </c>
      <c r="L63" t="s">
        <v>89</v>
      </c>
      <c r="N63" s="3">
        <v>46160</v>
      </c>
      <c r="O63" s="1" t="s">
        <v>30</v>
      </c>
      <c r="P63" s="4">
        <v>3500</v>
      </c>
      <c r="Q63" s="5">
        <v>1</v>
      </c>
      <c r="R63" s="1" t="s">
        <v>38</v>
      </c>
      <c r="S63" s="5">
        <v>80</v>
      </c>
      <c r="T63" s="1" t="s">
        <v>39</v>
      </c>
      <c r="U63" s="4">
        <v>4455.8500000000004</v>
      </c>
      <c r="Y63" s="1" t="s">
        <v>92</v>
      </c>
      <c r="Z63" s="3">
        <v>46161</v>
      </c>
      <c r="AA63" s="1" t="s">
        <v>41</v>
      </c>
      <c r="AB63" s="1" t="s">
        <v>42</v>
      </c>
      <c r="AC63" t="b">
        <f t="shared" si="0"/>
        <v>0</v>
      </c>
      <c r="AD63" t="b">
        <f t="shared" si="1"/>
        <v>0</v>
      </c>
      <c r="AE63" t="b">
        <f t="shared" si="2"/>
        <v>0</v>
      </c>
      <c r="AF63" t="b">
        <f t="shared" si="3"/>
        <v>0</v>
      </c>
    </row>
    <row r="64" spans="1:32">
      <c r="A64" t="s">
        <v>338</v>
      </c>
      <c r="B64" s="1" t="s">
        <v>339</v>
      </c>
      <c r="C64" s="2">
        <v>46034.528402777803</v>
      </c>
      <c r="D64" s="1" t="s">
        <v>30</v>
      </c>
      <c r="E64" s="1" t="s">
        <v>340</v>
      </c>
      <c r="F64" s="1" t="s">
        <v>266</v>
      </c>
      <c r="G64" s="3">
        <v>46034</v>
      </c>
      <c r="H64" s="1" t="s">
        <v>341</v>
      </c>
      <c r="I64" s="1" t="s">
        <v>34</v>
      </c>
      <c r="J64" s="1" t="s">
        <v>342</v>
      </c>
      <c r="K64" s="1" t="s">
        <v>35</v>
      </c>
      <c r="L64" t="s">
        <v>266</v>
      </c>
      <c r="N64" s="3">
        <v>46034</v>
      </c>
      <c r="O64" s="1" t="s">
        <v>30</v>
      </c>
      <c r="P64" s="4">
        <v>3500</v>
      </c>
      <c r="Q64" s="5">
        <v>12</v>
      </c>
      <c r="R64" s="1" t="s">
        <v>65</v>
      </c>
      <c r="S64" s="5">
        <v>1200</v>
      </c>
      <c r="T64" s="1" t="s">
        <v>39</v>
      </c>
      <c r="U64" s="4">
        <v>4170.6000000000004</v>
      </c>
      <c r="Y64" s="1" t="s">
        <v>72</v>
      </c>
      <c r="Z64" s="3">
        <v>46034</v>
      </c>
      <c r="AA64" s="1" t="s">
        <v>41</v>
      </c>
      <c r="AB64" s="1" t="s">
        <v>42</v>
      </c>
      <c r="AC64" t="b">
        <f t="shared" si="0"/>
        <v>0</v>
      </c>
      <c r="AD64" t="b">
        <f t="shared" si="1"/>
        <v>0</v>
      </c>
      <c r="AE64" t="b">
        <f t="shared" si="2"/>
        <v>0</v>
      </c>
      <c r="AF64" t="b">
        <f t="shared" si="3"/>
        <v>0</v>
      </c>
    </row>
    <row r="65" spans="1:32">
      <c r="A65" t="s">
        <v>343</v>
      </c>
      <c r="B65" s="1" t="s">
        <v>344</v>
      </c>
      <c r="C65" s="2">
        <v>46029.809814814798</v>
      </c>
      <c r="D65" s="1" t="s">
        <v>30</v>
      </c>
      <c r="E65" s="1" t="s">
        <v>68</v>
      </c>
      <c r="F65" s="1" t="s">
        <v>69</v>
      </c>
      <c r="G65" s="3">
        <v>46029</v>
      </c>
      <c r="H65" s="1" t="s">
        <v>70</v>
      </c>
      <c r="I65" s="1" t="s">
        <v>63</v>
      </c>
      <c r="J65" s="1" t="s">
        <v>57</v>
      </c>
      <c r="K65" s="1" t="s">
        <v>35</v>
      </c>
      <c r="L65" t="s">
        <v>69</v>
      </c>
      <c r="N65" s="3">
        <v>46029</v>
      </c>
      <c r="O65" s="1" t="s">
        <v>30</v>
      </c>
      <c r="P65" s="4">
        <v>4000</v>
      </c>
      <c r="Q65" s="5">
        <v>4</v>
      </c>
      <c r="R65" s="1" t="s">
        <v>38</v>
      </c>
      <c r="T65" s="1" t="s">
        <v>39</v>
      </c>
      <c r="U65" s="4">
        <v>4749.6000000000004</v>
      </c>
      <c r="V65" s="5">
        <v>0</v>
      </c>
      <c r="W65" s="5">
        <v>26</v>
      </c>
      <c r="Y65" s="1" t="s">
        <v>72</v>
      </c>
      <c r="Z65" s="3">
        <v>46029</v>
      </c>
      <c r="AA65" s="1" t="s">
        <v>41</v>
      </c>
      <c r="AB65" s="1" t="s">
        <v>42</v>
      </c>
      <c r="AC65" t="b">
        <f t="shared" si="0"/>
        <v>0</v>
      </c>
      <c r="AD65" t="b">
        <f t="shared" si="1"/>
        <v>0</v>
      </c>
      <c r="AE65" t="b">
        <f t="shared" si="2"/>
        <v>0</v>
      </c>
      <c r="AF65" t="b">
        <f t="shared" si="3"/>
        <v>0</v>
      </c>
    </row>
    <row r="66" spans="1:32">
      <c r="A66" t="s">
        <v>345</v>
      </c>
      <c r="B66" s="1" t="s">
        <v>346</v>
      </c>
      <c r="C66" s="2">
        <v>46164.585613425901</v>
      </c>
      <c r="D66" s="1" t="s">
        <v>30</v>
      </c>
      <c r="E66" s="1" t="s">
        <v>347</v>
      </c>
      <c r="F66" s="1" t="s">
        <v>348</v>
      </c>
      <c r="G66" s="3">
        <v>46164</v>
      </c>
      <c r="H66" s="1" t="s">
        <v>349</v>
      </c>
      <c r="I66" s="1" t="s">
        <v>34</v>
      </c>
      <c r="J66" s="1" t="s">
        <v>215</v>
      </c>
      <c r="K66" s="1" t="s">
        <v>35</v>
      </c>
      <c r="L66" t="s">
        <v>348</v>
      </c>
      <c r="N66" s="3">
        <v>46164</v>
      </c>
      <c r="O66" s="1" t="s">
        <v>30</v>
      </c>
      <c r="P66" s="4">
        <v>4000</v>
      </c>
      <c r="Q66" s="5">
        <v>1</v>
      </c>
      <c r="R66" s="1" t="s">
        <v>65</v>
      </c>
      <c r="S66" s="5">
        <v>100</v>
      </c>
      <c r="T66" s="1" t="s">
        <v>39</v>
      </c>
      <c r="U66" s="4">
        <v>5144.3999999999996</v>
      </c>
      <c r="Y66" s="1" t="s">
        <v>227</v>
      </c>
      <c r="Z66" s="3">
        <v>46164</v>
      </c>
      <c r="AA66" s="1" t="s">
        <v>41</v>
      </c>
      <c r="AB66" s="1" t="s">
        <v>42</v>
      </c>
      <c r="AC66" t="b">
        <f t="shared" ref="AC66:AC129" si="4">ISNUMBER( SEARCH("HOT",H66))</f>
        <v>0</v>
      </c>
      <c r="AD66" t="b">
        <f t="shared" ref="AD66:AD129" si="5">ISNUMBER( SEARCH("COMM",H66))</f>
        <v>0</v>
      </c>
      <c r="AE66" t="b">
        <f t="shared" ref="AE66:AE129" si="6">ISNUMBER( SEARCH("REEFER",H66))</f>
        <v>0</v>
      </c>
      <c r="AF66" t="b">
        <f t="shared" ref="AF66:AF129" si="7">ISNUMBER( SEARCH("P01",H66))</f>
        <v>0</v>
      </c>
    </row>
    <row r="67" spans="1:32">
      <c r="A67" t="s">
        <v>350</v>
      </c>
      <c r="B67" s="1" t="s">
        <v>351</v>
      </c>
      <c r="C67" s="2">
        <v>46142.7100810185</v>
      </c>
      <c r="D67" s="1" t="s">
        <v>30</v>
      </c>
      <c r="E67" s="1" t="s">
        <v>260</v>
      </c>
      <c r="F67" s="1" t="s">
        <v>49</v>
      </c>
      <c r="G67" s="3">
        <v>46142</v>
      </c>
      <c r="H67" s="1" t="s">
        <v>352</v>
      </c>
      <c r="I67" s="1" t="s">
        <v>34</v>
      </c>
      <c r="J67" s="1" t="s">
        <v>35</v>
      </c>
      <c r="K67" s="1" t="s">
        <v>353</v>
      </c>
      <c r="L67" t="s">
        <v>49</v>
      </c>
      <c r="N67" s="3">
        <v>46142</v>
      </c>
      <c r="O67" s="1" t="s">
        <v>30</v>
      </c>
      <c r="P67" s="4">
        <v>4000</v>
      </c>
      <c r="Q67" s="5">
        <v>1</v>
      </c>
      <c r="R67" s="1" t="s">
        <v>38</v>
      </c>
      <c r="S67" s="5">
        <v>54</v>
      </c>
      <c r="T67" s="1" t="s">
        <v>39</v>
      </c>
      <c r="U67" s="4">
        <v>5125.2</v>
      </c>
      <c r="Y67" s="1" t="s">
        <v>51</v>
      </c>
      <c r="Z67" s="3">
        <v>46142</v>
      </c>
      <c r="AA67" s="1" t="s">
        <v>41</v>
      </c>
      <c r="AB67" s="1" t="s">
        <v>42</v>
      </c>
      <c r="AC67" t="b">
        <f t="shared" si="4"/>
        <v>0</v>
      </c>
      <c r="AD67" t="b">
        <f t="shared" si="5"/>
        <v>0</v>
      </c>
      <c r="AE67" t="b">
        <f t="shared" si="6"/>
        <v>0</v>
      </c>
      <c r="AF67" t="b">
        <f t="shared" si="7"/>
        <v>0</v>
      </c>
    </row>
    <row r="68" spans="1:32">
      <c r="A68" t="s">
        <v>354</v>
      </c>
      <c r="B68" s="1" t="s">
        <v>355</v>
      </c>
      <c r="C68" s="2">
        <v>46156.750879629602</v>
      </c>
      <c r="D68" s="1" t="s">
        <v>30</v>
      </c>
      <c r="E68" s="1" t="s">
        <v>304</v>
      </c>
      <c r="F68" s="1" t="s">
        <v>112</v>
      </c>
      <c r="G68" s="3">
        <v>46156</v>
      </c>
      <c r="H68" s="1" t="s">
        <v>356</v>
      </c>
      <c r="I68" s="1" t="s">
        <v>63</v>
      </c>
      <c r="J68" s="1" t="s">
        <v>357</v>
      </c>
      <c r="K68" s="1" t="s">
        <v>35</v>
      </c>
      <c r="L68" t="s">
        <v>112</v>
      </c>
      <c r="M68" s="1" t="s">
        <v>45</v>
      </c>
      <c r="N68" s="3">
        <v>46156</v>
      </c>
      <c r="O68" s="1" t="s">
        <v>30</v>
      </c>
      <c r="P68" s="4">
        <v>4271</v>
      </c>
      <c r="Q68" s="5">
        <v>1</v>
      </c>
      <c r="R68" s="1" t="s">
        <v>38</v>
      </c>
      <c r="T68" s="1" t="s">
        <v>39</v>
      </c>
      <c r="U68" s="4">
        <v>5565.54</v>
      </c>
      <c r="V68" s="5">
        <v>0</v>
      </c>
      <c r="W68" s="5">
        <v>4</v>
      </c>
      <c r="Y68" s="1" t="s">
        <v>115</v>
      </c>
      <c r="Z68" s="3">
        <v>46156</v>
      </c>
      <c r="AA68" s="1" t="s">
        <v>41</v>
      </c>
      <c r="AB68" s="1" t="s">
        <v>42</v>
      </c>
      <c r="AC68" t="b">
        <f t="shared" si="4"/>
        <v>0</v>
      </c>
      <c r="AD68" t="b">
        <f t="shared" si="5"/>
        <v>0</v>
      </c>
      <c r="AE68" t="b">
        <f t="shared" si="6"/>
        <v>0</v>
      </c>
      <c r="AF68" t="b">
        <f t="shared" si="7"/>
        <v>0</v>
      </c>
    </row>
    <row r="69" spans="1:32">
      <c r="A69" t="s">
        <v>358</v>
      </c>
      <c r="B69" s="1" t="s">
        <v>359</v>
      </c>
      <c r="C69" s="2">
        <v>46085.4911111111</v>
      </c>
      <c r="D69" s="1" t="s">
        <v>30</v>
      </c>
      <c r="E69" s="1" t="s">
        <v>360</v>
      </c>
      <c r="F69" s="1" t="s">
        <v>361</v>
      </c>
      <c r="G69" s="3">
        <v>46085</v>
      </c>
      <c r="H69" s="1" t="s">
        <v>362</v>
      </c>
      <c r="I69" s="1" t="s">
        <v>34</v>
      </c>
      <c r="J69" s="1" t="s">
        <v>35</v>
      </c>
      <c r="K69" s="1" t="s">
        <v>244</v>
      </c>
      <c r="L69" t="s">
        <v>361</v>
      </c>
      <c r="M69" s="1" t="s">
        <v>37</v>
      </c>
      <c r="N69" s="3">
        <v>46085</v>
      </c>
      <c r="O69" s="1" t="s">
        <v>30</v>
      </c>
      <c r="P69" s="4">
        <v>4500</v>
      </c>
      <c r="Q69" s="5">
        <v>1</v>
      </c>
      <c r="R69" s="1" t="s">
        <v>38</v>
      </c>
      <c r="S69" s="5">
        <v>45</v>
      </c>
      <c r="T69" s="1" t="s">
        <v>39</v>
      </c>
      <c r="U69" s="4">
        <v>5521.05</v>
      </c>
      <c r="Y69" s="1" t="s">
        <v>72</v>
      </c>
      <c r="Z69" s="3">
        <v>46085</v>
      </c>
      <c r="AA69" s="1" t="s">
        <v>41</v>
      </c>
      <c r="AB69" s="1" t="s">
        <v>42</v>
      </c>
      <c r="AC69" t="b">
        <f t="shared" si="4"/>
        <v>0</v>
      </c>
      <c r="AD69" t="b">
        <f t="shared" si="5"/>
        <v>0</v>
      </c>
      <c r="AE69" t="b">
        <f t="shared" si="6"/>
        <v>0</v>
      </c>
      <c r="AF69" t="b">
        <f t="shared" si="7"/>
        <v>0</v>
      </c>
    </row>
    <row r="70" spans="1:32">
      <c r="A70" t="s">
        <v>363</v>
      </c>
      <c r="B70" s="1" t="s">
        <v>364</v>
      </c>
      <c r="C70" s="2">
        <v>46083.724374999998</v>
      </c>
      <c r="D70" s="1" t="s">
        <v>30</v>
      </c>
      <c r="E70" s="1" t="s">
        <v>260</v>
      </c>
      <c r="F70" s="1" t="s">
        <v>49</v>
      </c>
      <c r="G70" s="3">
        <v>46083</v>
      </c>
      <c r="H70" s="1" t="s">
        <v>365</v>
      </c>
      <c r="I70" s="1" t="s">
        <v>34</v>
      </c>
      <c r="J70" s="1" t="s">
        <v>35</v>
      </c>
      <c r="K70" s="1" t="s">
        <v>366</v>
      </c>
      <c r="L70" t="s">
        <v>49</v>
      </c>
      <c r="N70" s="3">
        <v>46083</v>
      </c>
      <c r="O70" s="1" t="s">
        <v>30</v>
      </c>
      <c r="P70" s="4">
        <v>4620</v>
      </c>
      <c r="Q70" s="5">
        <v>1</v>
      </c>
      <c r="R70" s="1" t="s">
        <v>65</v>
      </c>
      <c r="S70" s="5">
        <v>69</v>
      </c>
      <c r="T70" s="1" t="s">
        <v>39</v>
      </c>
      <c r="U70" s="4">
        <v>5672.44</v>
      </c>
      <c r="Y70" s="1" t="s">
        <v>51</v>
      </c>
      <c r="Z70" s="3">
        <v>46083</v>
      </c>
      <c r="AA70" s="1" t="s">
        <v>41</v>
      </c>
      <c r="AB70" s="1" t="s">
        <v>42</v>
      </c>
      <c r="AC70" t="b">
        <f t="shared" si="4"/>
        <v>0</v>
      </c>
      <c r="AD70" t="b">
        <f t="shared" si="5"/>
        <v>0</v>
      </c>
      <c r="AE70" t="b">
        <f t="shared" si="6"/>
        <v>0</v>
      </c>
      <c r="AF70" t="b">
        <f t="shared" si="7"/>
        <v>0</v>
      </c>
    </row>
    <row r="71" spans="1:32">
      <c r="A71" t="s">
        <v>367</v>
      </c>
      <c r="B71" s="1" t="s">
        <v>368</v>
      </c>
      <c r="C71" s="2">
        <v>46065.790983796302</v>
      </c>
      <c r="D71" s="1" t="s">
        <v>30</v>
      </c>
      <c r="E71" s="1" t="s">
        <v>369</v>
      </c>
      <c r="F71" s="1" t="s">
        <v>112</v>
      </c>
      <c r="G71" s="3">
        <v>46070</v>
      </c>
      <c r="H71" s="1" t="s">
        <v>370</v>
      </c>
      <c r="I71" s="1" t="s">
        <v>34</v>
      </c>
      <c r="J71" s="1" t="s">
        <v>35</v>
      </c>
      <c r="K71" s="1" t="s">
        <v>280</v>
      </c>
      <c r="L71" t="s">
        <v>112</v>
      </c>
      <c r="M71" s="1" t="s">
        <v>37</v>
      </c>
      <c r="N71" s="3">
        <v>46065</v>
      </c>
      <c r="O71" s="1" t="s">
        <v>30</v>
      </c>
      <c r="P71" s="4">
        <v>4625</v>
      </c>
      <c r="Q71" s="5">
        <v>1</v>
      </c>
      <c r="R71" s="1" t="s">
        <v>38</v>
      </c>
      <c r="S71" s="5">
        <v>63</v>
      </c>
      <c r="T71" s="1" t="s">
        <v>39</v>
      </c>
      <c r="U71" s="4">
        <v>5622.61</v>
      </c>
      <c r="Y71" s="1" t="s">
        <v>115</v>
      </c>
      <c r="Z71" s="3">
        <v>46070</v>
      </c>
      <c r="AA71" s="1" t="s">
        <v>41</v>
      </c>
      <c r="AB71" s="1" t="s">
        <v>42</v>
      </c>
      <c r="AC71" t="b">
        <f t="shared" si="4"/>
        <v>1</v>
      </c>
      <c r="AD71" t="b">
        <f t="shared" si="5"/>
        <v>0</v>
      </c>
      <c r="AE71" t="b">
        <f t="shared" si="6"/>
        <v>0</v>
      </c>
      <c r="AF71" t="b">
        <f t="shared" si="7"/>
        <v>0</v>
      </c>
    </row>
    <row r="72" spans="1:32">
      <c r="A72" t="s">
        <v>371</v>
      </c>
      <c r="B72" s="1" t="s">
        <v>372</v>
      </c>
      <c r="C72" s="2">
        <v>46176.7979976852</v>
      </c>
      <c r="D72" s="1" t="s">
        <v>30</v>
      </c>
      <c r="E72" s="1" t="s">
        <v>373</v>
      </c>
      <c r="F72" s="1" t="s">
        <v>32</v>
      </c>
      <c r="G72" s="3">
        <v>46178</v>
      </c>
      <c r="H72" s="1" t="s">
        <v>374</v>
      </c>
      <c r="I72" s="1" t="s">
        <v>34</v>
      </c>
      <c r="J72" s="1" t="s">
        <v>181</v>
      </c>
      <c r="K72" s="1" t="s">
        <v>35</v>
      </c>
      <c r="L72" t="s">
        <v>32</v>
      </c>
      <c r="M72" s="1" t="s">
        <v>45</v>
      </c>
      <c r="N72" s="3">
        <v>46176</v>
      </c>
      <c r="O72" s="1" t="s">
        <v>30</v>
      </c>
      <c r="P72" s="4">
        <v>4770</v>
      </c>
      <c r="Q72" s="5">
        <v>1</v>
      </c>
      <c r="R72" s="1" t="s">
        <v>38</v>
      </c>
      <c r="S72" s="5">
        <v>72</v>
      </c>
      <c r="T72" s="1" t="s">
        <v>39</v>
      </c>
      <c r="U72" s="4">
        <v>6118</v>
      </c>
      <c r="Y72" s="1" t="s">
        <v>40</v>
      </c>
      <c r="Z72" s="3">
        <v>46178</v>
      </c>
      <c r="AA72" s="1" t="s">
        <v>41</v>
      </c>
      <c r="AB72" s="1" t="s">
        <v>42</v>
      </c>
      <c r="AC72" t="b">
        <f t="shared" si="4"/>
        <v>0</v>
      </c>
      <c r="AD72" t="b">
        <f t="shared" si="5"/>
        <v>0</v>
      </c>
      <c r="AE72" t="b">
        <f t="shared" si="6"/>
        <v>0</v>
      </c>
      <c r="AF72" t="b">
        <f t="shared" si="7"/>
        <v>0</v>
      </c>
    </row>
    <row r="73" spans="1:32">
      <c r="A73" t="s">
        <v>375</v>
      </c>
      <c r="B73" s="1" t="s">
        <v>376</v>
      </c>
      <c r="C73" s="2">
        <v>46065.765509259298</v>
      </c>
      <c r="D73" s="1" t="s">
        <v>30</v>
      </c>
      <c r="E73" s="1" t="s">
        <v>377</v>
      </c>
      <c r="F73" s="1" t="s">
        <v>206</v>
      </c>
      <c r="G73" s="3">
        <v>46065</v>
      </c>
      <c r="H73" s="1" t="s">
        <v>378</v>
      </c>
      <c r="I73" s="1" t="s">
        <v>63</v>
      </c>
      <c r="J73" s="1" t="s">
        <v>379</v>
      </c>
      <c r="K73" s="1" t="s">
        <v>35</v>
      </c>
      <c r="L73" t="s">
        <v>206</v>
      </c>
      <c r="N73" s="3">
        <v>46065</v>
      </c>
      <c r="O73" s="1" t="s">
        <v>30</v>
      </c>
      <c r="P73" s="4">
        <v>5000</v>
      </c>
      <c r="Q73" s="5">
        <v>2</v>
      </c>
      <c r="R73" s="1" t="s">
        <v>38</v>
      </c>
      <c r="T73" s="1" t="s">
        <v>39</v>
      </c>
      <c r="U73" s="4">
        <v>6078.5</v>
      </c>
      <c r="V73" s="5">
        <v>10</v>
      </c>
      <c r="W73" s="5">
        <v>1</v>
      </c>
      <c r="Y73" s="1" t="s">
        <v>58</v>
      </c>
      <c r="Z73" s="3">
        <v>46065</v>
      </c>
      <c r="AA73" s="1" t="s">
        <v>41</v>
      </c>
      <c r="AB73" s="1" t="s">
        <v>208</v>
      </c>
      <c r="AC73" t="b">
        <f t="shared" si="4"/>
        <v>0</v>
      </c>
      <c r="AD73" t="b">
        <f t="shared" si="5"/>
        <v>0</v>
      </c>
      <c r="AE73" t="b">
        <f t="shared" si="6"/>
        <v>0</v>
      </c>
      <c r="AF73" t="b">
        <f t="shared" si="7"/>
        <v>0</v>
      </c>
    </row>
    <row r="74" spans="1:32">
      <c r="A74" t="s">
        <v>380</v>
      </c>
      <c r="B74" s="1" t="s">
        <v>381</v>
      </c>
      <c r="C74" s="2">
        <v>46103.919085648202</v>
      </c>
      <c r="D74" s="1" t="s">
        <v>30</v>
      </c>
      <c r="E74" s="1" t="s">
        <v>31</v>
      </c>
      <c r="F74" s="1" t="s">
        <v>32</v>
      </c>
      <c r="G74" s="3">
        <v>46108</v>
      </c>
      <c r="H74" s="1" t="s">
        <v>33</v>
      </c>
      <c r="I74" s="1" t="s">
        <v>382</v>
      </c>
      <c r="J74" s="1" t="s">
        <v>35</v>
      </c>
      <c r="K74" s="1" t="s">
        <v>383</v>
      </c>
      <c r="L74" t="s">
        <v>32</v>
      </c>
      <c r="M74" s="1" t="s">
        <v>37</v>
      </c>
      <c r="N74" s="3">
        <v>46103</v>
      </c>
      <c r="O74" s="1" t="s">
        <v>30</v>
      </c>
      <c r="P74" s="4">
        <v>5000</v>
      </c>
      <c r="Q74" s="5">
        <v>1</v>
      </c>
      <c r="R74" s="1" t="s">
        <v>38</v>
      </c>
      <c r="T74" s="1" t="s">
        <v>39</v>
      </c>
      <c r="U74" s="4">
        <v>6157</v>
      </c>
      <c r="Y74" s="1" t="s">
        <v>40</v>
      </c>
      <c r="Z74" s="3">
        <v>46108</v>
      </c>
      <c r="AA74" s="1" t="s">
        <v>41</v>
      </c>
      <c r="AB74" s="1" t="s">
        <v>42</v>
      </c>
      <c r="AC74" t="b">
        <f t="shared" si="4"/>
        <v>0</v>
      </c>
      <c r="AD74" t="b">
        <f t="shared" si="5"/>
        <v>0</v>
      </c>
      <c r="AE74" t="b">
        <f t="shared" si="6"/>
        <v>0</v>
      </c>
      <c r="AF74" t="b">
        <f t="shared" si="7"/>
        <v>0</v>
      </c>
    </row>
    <row r="75" spans="1:32">
      <c r="A75" t="s">
        <v>384</v>
      </c>
      <c r="B75" s="1" t="s">
        <v>385</v>
      </c>
      <c r="C75" s="2">
        <v>46176.861736111103</v>
      </c>
      <c r="D75" s="1" t="s">
        <v>30</v>
      </c>
      <c r="E75" s="1" t="s">
        <v>386</v>
      </c>
      <c r="F75" s="1" t="s">
        <v>387</v>
      </c>
      <c r="G75" s="3">
        <v>46175</v>
      </c>
      <c r="H75" s="1" t="s">
        <v>388</v>
      </c>
      <c r="I75" s="1" t="s">
        <v>34</v>
      </c>
      <c r="J75" s="1" t="s">
        <v>35</v>
      </c>
      <c r="K75" s="1" t="s">
        <v>244</v>
      </c>
      <c r="L75" t="s">
        <v>387</v>
      </c>
      <c r="N75" s="3">
        <v>46176</v>
      </c>
      <c r="O75" s="1" t="s">
        <v>30</v>
      </c>
      <c r="P75" s="4">
        <v>5000</v>
      </c>
      <c r="Q75" s="5">
        <v>6</v>
      </c>
      <c r="R75" s="1" t="s">
        <v>38</v>
      </c>
      <c r="S75" s="5">
        <v>1000</v>
      </c>
      <c r="T75" s="1" t="s">
        <v>39</v>
      </c>
      <c r="U75" s="4">
        <v>6413</v>
      </c>
      <c r="Y75" s="1" t="s">
        <v>58</v>
      </c>
      <c r="Z75" s="3">
        <v>46175</v>
      </c>
      <c r="AA75" s="1" t="s">
        <v>41</v>
      </c>
      <c r="AB75" s="1" t="s">
        <v>42</v>
      </c>
      <c r="AC75" t="b">
        <f t="shared" si="4"/>
        <v>0</v>
      </c>
      <c r="AD75" t="b">
        <f t="shared" si="5"/>
        <v>0</v>
      </c>
      <c r="AE75" t="b">
        <f t="shared" si="6"/>
        <v>0</v>
      </c>
      <c r="AF75" t="b">
        <f t="shared" si="7"/>
        <v>0</v>
      </c>
    </row>
    <row r="76" spans="1:32">
      <c r="A76" t="s">
        <v>389</v>
      </c>
      <c r="B76" s="1" t="s">
        <v>390</v>
      </c>
      <c r="C76" s="2">
        <v>46176.861736111103</v>
      </c>
      <c r="D76" s="1" t="s">
        <v>30</v>
      </c>
      <c r="E76" s="1" t="s">
        <v>386</v>
      </c>
      <c r="F76" s="1" t="s">
        <v>387</v>
      </c>
      <c r="G76" s="3">
        <v>46175</v>
      </c>
      <c r="H76" s="1" t="s">
        <v>388</v>
      </c>
      <c r="I76" s="1" t="s">
        <v>34</v>
      </c>
      <c r="J76" s="1" t="s">
        <v>35</v>
      </c>
      <c r="K76" s="1" t="s">
        <v>114</v>
      </c>
      <c r="L76" t="s">
        <v>387</v>
      </c>
      <c r="N76" s="3">
        <v>46176</v>
      </c>
      <c r="O76" s="1" t="s">
        <v>30</v>
      </c>
      <c r="P76" s="4">
        <v>5000</v>
      </c>
      <c r="Q76" s="5">
        <v>1</v>
      </c>
      <c r="R76" s="1" t="s">
        <v>38</v>
      </c>
      <c r="S76" s="5">
        <v>500</v>
      </c>
      <c r="T76" s="1" t="s">
        <v>39</v>
      </c>
      <c r="U76" s="4">
        <v>6413</v>
      </c>
      <c r="Y76" s="1" t="s">
        <v>58</v>
      </c>
      <c r="Z76" s="3">
        <v>46175</v>
      </c>
      <c r="AA76" s="1" t="s">
        <v>41</v>
      </c>
      <c r="AB76" s="1" t="s">
        <v>42</v>
      </c>
      <c r="AC76" t="b">
        <f t="shared" si="4"/>
        <v>0</v>
      </c>
      <c r="AD76" t="b">
        <f t="shared" si="5"/>
        <v>0</v>
      </c>
      <c r="AE76" t="b">
        <f t="shared" si="6"/>
        <v>0</v>
      </c>
      <c r="AF76" t="b">
        <f t="shared" si="7"/>
        <v>0</v>
      </c>
    </row>
    <row r="77" spans="1:32">
      <c r="A77" t="s">
        <v>391</v>
      </c>
      <c r="B77" s="1" t="s">
        <v>392</v>
      </c>
      <c r="C77" s="2">
        <v>46161.5300347222</v>
      </c>
      <c r="D77" s="1" t="s">
        <v>30</v>
      </c>
      <c r="E77" s="1" t="s">
        <v>393</v>
      </c>
      <c r="F77" s="1" t="s">
        <v>248</v>
      </c>
      <c r="H77" s="1" t="s">
        <v>394</v>
      </c>
      <c r="I77" s="1" t="s">
        <v>34</v>
      </c>
      <c r="J77" s="1" t="s">
        <v>315</v>
      </c>
      <c r="K77" s="1" t="s">
        <v>35</v>
      </c>
      <c r="L77" t="s">
        <v>248</v>
      </c>
      <c r="M77" s="1" t="s">
        <v>45</v>
      </c>
      <c r="O77" s="1" t="s">
        <v>30</v>
      </c>
      <c r="P77" s="4">
        <v>5000</v>
      </c>
      <c r="Q77" s="5">
        <v>1</v>
      </c>
      <c r="S77" s="5">
        <v>20</v>
      </c>
      <c r="T77" s="1" t="s">
        <v>39</v>
      </c>
      <c r="U77" s="4">
        <v>6365.5</v>
      </c>
      <c r="Y77" s="1" t="s">
        <v>58</v>
      </c>
      <c r="Z77" s="3">
        <v>46239</v>
      </c>
      <c r="AA77" s="1" t="s">
        <v>237</v>
      </c>
      <c r="AB77" s="1" t="s">
        <v>238</v>
      </c>
      <c r="AC77" t="b">
        <f t="shared" si="4"/>
        <v>0</v>
      </c>
      <c r="AD77" t="b">
        <f t="shared" si="5"/>
        <v>0</v>
      </c>
      <c r="AE77" t="b">
        <f t="shared" si="6"/>
        <v>0</v>
      </c>
      <c r="AF77" t="b">
        <f t="shared" si="7"/>
        <v>0</v>
      </c>
    </row>
    <row r="78" spans="1:32">
      <c r="A78" t="s">
        <v>395</v>
      </c>
      <c r="B78" s="1" t="s">
        <v>396</v>
      </c>
      <c r="C78" s="2">
        <v>46128.570775462998</v>
      </c>
      <c r="D78" s="1" t="s">
        <v>30</v>
      </c>
      <c r="E78" s="1" t="s">
        <v>397</v>
      </c>
      <c r="F78" s="1" t="s">
        <v>328</v>
      </c>
      <c r="G78" s="3">
        <v>46128</v>
      </c>
      <c r="H78" s="1" t="s">
        <v>398</v>
      </c>
      <c r="I78" s="1" t="s">
        <v>63</v>
      </c>
      <c r="J78" s="1" t="s">
        <v>35</v>
      </c>
      <c r="K78" s="1" t="s">
        <v>399</v>
      </c>
      <c r="L78" t="s">
        <v>328</v>
      </c>
      <c r="M78" s="1" t="s">
        <v>37</v>
      </c>
      <c r="N78" s="3">
        <v>46128</v>
      </c>
      <c r="O78" s="1" t="s">
        <v>30</v>
      </c>
      <c r="P78" s="4">
        <v>5000</v>
      </c>
      <c r="Q78" s="5">
        <v>1</v>
      </c>
      <c r="R78" s="1" t="s">
        <v>38</v>
      </c>
      <c r="T78" s="1" t="s">
        <v>39</v>
      </c>
      <c r="U78" s="4">
        <v>6348</v>
      </c>
      <c r="V78" s="5">
        <v>0</v>
      </c>
      <c r="W78" s="5">
        <v>3</v>
      </c>
      <c r="Y78" s="1" t="s">
        <v>72</v>
      </c>
      <c r="Z78" s="3">
        <v>46128</v>
      </c>
      <c r="AA78" s="1" t="s">
        <v>41</v>
      </c>
      <c r="AB78" s="1" t="s">
        <v>42</v>
      </c>
      <c r="AC78" t="b">
        <f t="shared" si="4"/>
        <v>0</v>
      </c>
      <c r="AD78" t="b">
        <f t="shared" si="5"/>
        <v>0</v>
      </c>
      <c r="AE78" t="b">
        <f t="shared" si="6"/>
        <v>0</v>
      </c>
      <c r="AF78" t="b">
        <f t="shared" si="7"/>
        <v>0</v>
      </c>
    </row>
    <row r="79" spans="1:32">
      <c r="A79" t="s">
        <v>400</v>
      </c>
      <c r="B79" s="1" t="s">
        <v>401</v>
      </c>
      <c r="C79" s="2">
        <v>46069.566145833298</v>
      </c>
      <c r="D79" s="1" t="s">
        <v>30</v>
      </c>
      <c r="E79" s="1" t="s">
        <v>402</v>
      </c>
      <c r="F79" s="1" t="s">
        <v>112</v>
      </c>
      <c r="G79" s="3">
        <v>46073</v>
      </c>
      <c r="H79" s="1" t="s">
        <v>403</v>
      </c>
      <c r="I79" s="1" t="s">
        <v>34</v>
      </c>
      <c r="J79" s="1" t="s">
        <v>232</v>
      </c>
      <c r="K79" s="1" t="s">
        <v>35</v>
      </c>
      <c r="L79" t="s">
        <v>112</v>
      </c>
      <c r="M79" s="1" t="s">
        <v>45</v>
      </c>
      <c r="N79" s="3">
        <v>46069</v>
      </c>
      <c r="O79" s="1" t="s">
        <v>30</v>
      </c>
      <c r="P79" s="4">
        <v>5006</v>
      </c>
      <c r="Q79" s="5">
        <v>1</v>
      </c>
      <c r="R79" s="1" t="s">
        <v>38</v>
      </c>
      <c r="S79" s="5">
        <v>5</v>
      </c>
      <c r="T79" s="1" t="s">
        <v>39</v>
      </c>
      <c r="U79" s="4">
        <v>6043.24</v>
      </c>
      <c r="Y79" s="1" t="s">
        <v>115</v>
      </c>
      <c r="Z79" s="3">
        <v>46073</v>
      </c>
      <c r="AA79" s="1" t="s">
        <v>41</v>
      </c>
      <c r="AB79" s="1" t="s">
        <v>42</v>
      </c>
      <c r="AC79" t="b">
        <f t="shared" si="4"/>
        <v>0</v>
      </c>
      <c r="AD79" t="b">
        <f t="shared" si="5"/>
        <v>0</v>
      </c>
      <c r="AE79" t="b">
        <f t="shared" si="6"/>
        <v>0</v>
      </c>
      <c r="AF79" t="b">
        <f t="shared" si="7"/>
        <v>0</v>
      </c>
    </row>
    <row r="80" spans="1:32">
      <c r="A80" t="s">
        <v>404</v>
      </c>
      <c r="B80" s="1" t="s">
        <v>405</v>
      </c>
      <c r="C80" s="2">
        <v>46101.9977546296</v>
      </c>
      <c r="D80" s="1" t="s">
        <v>30</v>
      </c>
      <c r="E80" s="1" t="s">
        <v>199</v>
      </c>
      <c r="F80" s="1" t="s">
        <v>200</v>
      </c>
      <c r="G80" s="3">
        <v>46128</v>
      </c>
      <c r="H80" s="1" t="s">
        <v>406</v>
      </c>
      <c r="I80" s="1" t="s">
        <v>34</v>
      </c>
      <c r="J80" s="1" t="s">
        <v>35</v>
      </c>
      <c r="K80" s="1" t="s">
        <v>108</v>
      </c>
      <c r="L80" t="s">
        <v>200</v>
      </c>
      <c r="M80" s="1" t="s">
        <v>37</v>
      </c>
      <c r="N80" s="3">
        <v>46101</v>
      </c>
      <c r="O80" s="1" t="s">
        <v>30</v>
      </c>
      <c r="P80" s="4">
        <v>5020</v>
      </c>
      <c r="Q80" s="5">
        <v>1</v>
      </c>
      <c r="R80" s="1" t="s">
        <v>38</v>
      </c>
      <c r="S80" s="5">
        <v>328</v>
      </c>
      <c r="T80" s="1" t="s">
        <v>39</v>
      </c>
      <c r="U80" s="4">
        <v>6181.63</v>
      </c>
      <c r="Y80" s="1" t="s">
        <v>40</v>
      </c>
      <c r="Z80" s="3">
        <v>46128</v>
      </c>
      <c r="AA80" s="1" t="s">
        <v>41</v>
      </c>
      <c r="AB80" s="1" t="s">
        <v>42</v>
      </c>
      <c r="AC80" t="b">
        <f t="shared" si="4"/>
        <v>0</v>
      </c>
      <c r="AD80" t="b">
        <f t="shared" si="5"/>
        <v>0</v>
      </c>
      <c r="AE80" t="b">
        <f t="shared" si="6"/>
        <v>0</v>
      </c>
      <c r="AF80" t="b">
        <f t="shared" si="7"/>
        <v>0</v>
      </c>
    </row>
    <row r="81" spans="1:32">
      <c r="A81" t="s">
        <v>407</v>
      </c>
      <c r="B81" s="1" t="s">
        <v>408</v>
      </c>
      <c r="C81" s="2">
        <v>46176.854861111096</v>
      </c>
      <c r="D81" s="1" t="s">
        <v>30</v>
      </c>
      <c r="E81" s="1" t="s">
        <v>409</v>
      </c>
      <c r="F81" s="1" t="s">
        <v>84</v>
      </c>
      <c r="G81" s="3">
        <v>46155</v>
      </c>
      <c r="H81" s="1" t="s">
        <v>410</v>
      </c>
      <c r="I81" s="1" t="s">
        <v>382</v>
      </c>
      <c r="J81" s="1" t="s">
        <v>35</v>
      </c>
      <c r="K81" s="1" t="s">
        <v>383</v>
      </c>
      <c r="L81" t="s">
        <v>84</v>
      </c>
      <c r="M81" s="1" t="s">
        <v>37</v>
      </c>
      <c r="N81" s="3">
        <v>46176</v>
      </c>
      <c r="O81" s="1" t="s">
        <v>30</v>
      </c>
      <c r="P81" s="4">
        <v>5065</v>
      </c>
      <c r="Q81" s="5">
        <v>1</v>
      </c>
      <c r="R81" s="1" t="s">
        <v>38</v>
      </c>
      <c r="T81" s="1" t="s">
        <v>39</v>
      </c>
      <c r="U81" s="4">
        <v>6496.37</v>
      </c>
      <c r="Y81" s="1" t="s">
        <v>58</v>
      </c>
      <c r="Z81" s="3">
        <v>46155</v>
      </c>
      <c r="AA81" s="1" t="s">
        <v>41</v>
      </c>
      <c r="AB81" s="1" t="s">
        <v>42</v>
      </c>
      <c r="AC81" t="b">
        <f t="shared" si="4"/>
        <v>0</v>
      </c>
      <c r="AD81" t="b">
        <f t="shared" si="5"/>
        <v>0</v>
      </c>
      <c r="AE81" t="b">
        <f t="shared" si="6"/>
        <v>0</v>
      </c>
      <c r="AF81" t="b">
        <f t="shared" si="7"/>
        <v>0</v>
      </c>
    </row>
    <row r="82" spans="1:32">
      <c r="A82" t="s">
        <v>411</v>
      </c>
      <c r="B82" s="1" t="s">
        <v>412</v>
      </c>
      <c r="C82" s="2">
        <v>46112.597280092603</v>
      </c>
      <c r="D82" s="1" t="s">
        <v>30</v>
      </c>
      <c r="E82" s="1" t="s">
        <v>413</v>
      </c>
      <c r="F82" s="1" t="s">
        <v>284</v>
      </c>
      <c r="G82" s="3">
        <v>46104</v>
      </c>
      <c r="H82" s="1" t="s">
        <v>414</v>
      </c>
      <c r="I82" s="1" t="s">
        <v>34</v>
      </c>
      <c r="J82" s="1" t="s">
        <v>244</v>
      </c>
      <c r="K82" s="1" t="s">
        <v>35</v>
      </c>
      <c r="L82" t="s">
        <v>284</v>
      </c>
      <c r="N82" s="3">
        <v>46112</v>
      </c>
      <c r="O82" s="1" t="s">
        <v>30</v>
      </c>
      <c r="P82" s="4">
        <v>5100</v>
      </c>
      <c r="Q82" s="5">
        <v>1</v>
      </c>
      <c r="R82" s="1" t="s">
        <v>38</v>
      </c>
      <c r="S82" s="5">
        <v>205</v>
      </c>
      <c r="T82" s="1" t="s">
        <v>39</v>
      </c>
      <c r="U82" s="4">
        <v>6327.57</v>
      </c>
      <c r="Y82" s="1" t="s">
        <v>286</v>
      </c>
      <c r="Z82" s="3">
        <v>46104</v>
      </c>
      <c r="AA82" s="1" t="s">
        <v>41</v>
      </c>
      <c r="AB82" s="1" t="s">
        <v>42</v>
      </c>
      <c r="AC82" t="b">
        <f t="shared" si="4"/>
        <v>0</v>
      </c>
      <c r="AD82" t="b">
        <f t="shared" si="5"/>
        <v>0</v>
      </c>
      <c r="AE82" t="b">
        <f t="shared" si="6"/>
        <v>0</v>
      </c>
      <c r="AF82" t="b">
        <f t="shared" si="7"/>
        <v>0</v>
      </c>
    </row>
    <row r="83" spans="1:32">
      <c r="A83" t="s">
        <v>415</v>
      </c>
      <c r="B83" s="1" t="s">
        <v>416</v>
      </c>
      <c r="C83" s="2">
        <v>46086.555370370399</v>
      </c>
      <c r="D83" s="1" t="s">
        <v>30</v>
      </c>
      <c r="E83" s="1" t="s">
        <v>417</v>
      </c>
      <c r="F83" s="1" t="s">
        <v>89</v>
      </c>
      <c r="G83" s="3">
        <v>46086</v>
      </c>
      <c r="H83" s="1" t="s">
        <v>418</v>
      </c>
      <c r="I83" s="1" t="s">
        <v>63</v>
      </c>
      <c r="J83" s="1" t="s">
        <v>35</v>
      </c>
      <c r="K83" s="1" t="s">
        <v>262</v>
      </c>
      <c r="L83" t="s">
        <v>89</v>
      </c>
      <c r="N83" s="3">
        <v>46086</v>
      </c>
      <c r="O83" s="1" t="s">
        <v>30</v>
      </c>
      <c r="P83" s="4">
        <v>5400</v>
      </c>
      <c r="Q83" s="5">
        <v>1</v>
      </c>
      <c r="R83" s="1" t="s">
        <v>38</v>
      </c>
      <c r="T83" s="1" t="s">
        <v>39</v>
      </c>
      <c r="U83" s="4">
        <v>6640.92</v>
      </c>
      <c r="V83" s="5">
        <v>2</v>
      </c>
      <c r="W83" s="5">
        <v>0</v>
      </c>
      <c r="Y83" s="1" t="s">
        <v>92</v>
      </c>
      <c r="Z83" s="3">
        <v>46086</v>
      </c>
      <c r="AA83" s="1" t="s">
        <v>41</v>
      </c>
      <c r="AB83" s="1" t="s">
        <v>42</v>
      </c>
      <c r="AC83" t="b">
        <f t="shared" si="4"/>
        <v>0</v>
      </c>
      <c r="AD83" t="b">
        <f t="shared" si="5"/>
        <v>0</v>
      </c>
      <c r="AE83" t="b">
        <f t="shared" si="6"/>
        <v>0</v>
      </c>
      <c r="AF83" t="b">
        <f t="shared" si="7"/>
        <v>0</v>
      </c>
    </row>
    <row r="84" spans="1:32">
      <c r="A84" t="s">
        <v>419</v>
      </c>
      <c r="B84" s="1" t="s">
        <v>420</v>
      </c>
      <c r="C84" s="2">
        <v>46104.583749999998</v>
      </c>
      <c r="D84" s="1" t="s">
        <v>30</v>
      </c>
      <c r="E84" s="1" t="s">
        <v>421</v>
      </c>
      <c r="F84" s="1" t="s">
        <v>284</v>
      </c>
      <c r="G84" s="3">
        <v>46097</v>
      </c>
      <c r="H84" s="1" t="s">
        <v>422</v>
      </c>
      <c r="I84" s="1" t="s">
        <v>34</v>
      </c>
      <c r="J84" s="1" t="s">
        <v>35</v>
      </c>
      <c r="K84" s="1" t="s">
        <v>280</v>
      </c>
      <c r="L84" t="s">
        <v>284</v>
      </c>
      <c r="N84" s="3">
        <v>46104</v>
      </c>
      <c r="O84" s="1" t="s">
        <v>30</v>
      </c>
      <c r="P84" s="4">
        <v>5500</v>
      </c>
      <c r="Q84" s="5">
        <v>1</v>
      </c>
      <c r="R84" s="1" t="s">
        <v>38</v>
      </c>
      <c r="S84" s="5">
        <v>1040000</v>
      </c>
      <c r="T84" s="1" t="s">
        <v>39</v>
      </c>
      <c r="U84" s="4">
        <v>6772.7</v>
      </c>
      <c r="Y84" s="1" t="s">
        <v>286</v>
      </c>
      <c r="Z84" s="3">
        <v>46097</v>
      </c>
      <c r="AA84" s="1" t="s">
        <v>41</v>
      </c>
      <c r="AB84" s="1" t="s">
        <v>42</v>
      </c>
      <c r="AC84" t="b">
        <f t="shared" si="4"/>
        <v>0</v>
      </c>
      <c r="AD84" t="b">
        <f t="shared" si="5"/>
        <v>0</v>
      </c>
      <c r="AE84" t="b">
        <f t="shared" si="6"/>
        <v>0</v>
      </c>
      <c r="AF84" t="b">
        <f t="shared" si="7"/>
        <v>0</v>
      </c>
    </row>
    <row r="85" spans="1:32">
      <c r="A85" t="s">
        <v>423</v>
      </c>
      <c r="B85" s="1" t="s">
        <v>424</v>
      </c>
      <c r="C85" s="2">
        <v>46149.535474536999</v>
      </c>
      <c r="D85" s="1" t="s">
        <v>30</v>
      </c>
      <c r="E85" s="1" t="s">
        <v>425</v>
      </c>
      <c r="F85" s="1" t="s">
        <v>119</v>
      </c>
      <c r="G85" s="3">
        <v>46149</v>
      </c>
      <c r="H85" s="1" t="s">
        <v>426</v>
      </c>
      <c r="I85" s="1" t="s">
        <v>34</v>
      </c>
      <c r="J85" s="1" t="s">
        <v>64</v>
      </c>
      <c r="K85" s="1" t="s">
        <v>35</v>
      </c>
      <c r="L85" t="s">
        <v>119</v>
      </c>
      <c r="N85" s="3">
        <v>46149</v>
      </c>
      <c r="O85" s="1" t="s">
        <v>30</v>
      </c>
      <c r="P85" s="4">
        <v>5665.66</v>
      </c>
      <c r="Q85" s="5">
        <v>1</v>
      </c>
      <c r="R85" s="1" t="s">
        <v>38</v>
      </c>
      <c r="S85" s="5">
        <v>500</v>
      </c>
      <c r="T85" s="1" t="s">
        <v>39</v>
      </c>
      <c r="U85" s="4">
        <v>7351.76</v>
      </c>
      <c r="Y85" s="1" t="s">
        <v>58</v>
      </c>
      <c r="Z85" s="3">
        <v>46149</v>
      </c>
      <c r="AA85" s="1" t="s">
        <v>41</v>
      </c>
      <c r="AB85" s="1" t="s">
        <v>42</v>
      </c>
      <c r="AC85" t="b">
        <f t="shared" si="4"/>
        <v>0</v>
      </c>
      <c r="AD85" t="b">
        <f t="shared" si="5"/>
        <v>0</v>
      </c>
      <c r="AE85" t="b">
        <f t="shared" si="6"/>
        <v>0</v>
      </c>
      <c r="AF85" t="b">
        <f t="shared" si="7"/>
        <v>0</v>
      </c>
    </row>
    <row r="86" spans="1:32">
      <c r="A86" t="s">
        <v>427</v>
      </c>
      <c r="B86" s="1" t="s">
        <v>428</v>
      </c>
      <c r="C86" s="2">
        <v>46043.7040277778</v>
      </c>
      <c r="D86" s="1" t="s">
        <v>30</v>
      </c>
      <c r="E86" s="1" t="s">
        <v>429</v>
      </c>
      <c r="F86" s="1" t="s">
        <v>430</v>
      </c>
      <c r="G86" s="3">
        <v>46053</v>
      </c>
      <c r="H86" s="1" t="s">
        <v>431</v>
      </c>
      <c r="I86" s="1" t="s">
        <v>34</v>
      </c>
      <c r="J86" s="1" t="s">
        <v>202</v>
      </c>
      <c r="K86" s="1" t="s">
        <v>35</v>
      </c>
      <c r="L86" t="s">
        <v>430</v>
      </c>
      <c r="M86" s="1" t="s">
        <v>45</v>
      </c>
      <c r="N86" s="3">
        <v>46043</v>
      </c>
      <c r="O86" s="1" t="s">
        <v>30</v>
      </c>
      <c r="P86" s="4">
        <v>5800</v>
      </c>
      <c r="Q86" s="5">
        <v>2</v>
      </c>
      <c r="R86" s="1" t="s">
        <v>38</v>
      </c>
      <c r="S86" s="5">
        <v>100</v>
      </c>
      <c r="T86" s="1" t="s">
        <v>39</v>
      </c>
      <c r="U86" s="4">
        <v>6864.3</v>
      </c>
      <c r="Y86" s="1" t="s">
        <v>227</v>
      </c>
      <c r="Z86" s="3">
        <v>46053</v>
      </c>
      <c r="AA86" s="1" t="s">
        <v>41</v>
      </c>
      <c r="AB86" s="1" t="s">
        <v>42</v>
      </c>
      <c r="AC86" t="b">
        <f t="shared" si="4"/>
        <v>0</v>
      </c>
      <c r="AD86" t="b">
        <f t="shared" si="5"/>
        <v>0</v>
      </c>
      <c r="AE86" t="b">
        <f t="shared" si="6"/>
        <v>0</v>
      </c>
      <c r="AF86" t="b">
        <f t="shared" si="7"/>
        <v>0</v>
      </c>
    </row>
    <row r="87" spans="1:32">
      <c r="A87" t="s">
        <v>432</v>
      </c>
      <c r="B87" s="1" t="s">
        <v>433</v>
      </c>
      <c r="C87" s="2">
        <v>46104.739259259302</v>
      </c>
      <c r="D87" s="1" t="s">
        <v>30</v>
      </c>
      <c r="E87" s="1" t="s">
        <v>434</v>
      </c>
      <c r="F87" s="1" t="s">
        <v>49</v>
      </c>
      <c r="G87" s="3">
        <v>46104</v>
      </c>
      <c r="H87" s="1" t="s">
        <v>435</v>
      </c>
      <c r="I87" s="1" t="s">
        <v>34</v>
      </c>
      <c r="J87" s="1" t="s">
        <v>35</v>
      </c>
      <c r="K87" s="1" t="s">
        <v>315</v>
      </c>
      <c r="L87" t="s">
        <v>49</v>
      </c>
      <c r="N87" s="3">
        <v>46104</v>
      </c>
      <c r="O87" s="1" t="s">
        <v>30</v>
      </c>
      <c r="P87" s="4">
        <v>5800</v>
      </c>
      <c r="Q87" s="5">
        <v>1</v>
      </c>
      <c r="R87" s="1" t="s">
        <v>38</v>
      </c>
      <c r="S87" s="5">
        <v>600</v>
      </c>
      <c r="T87" s="1" t="s">
        <v>39</v>
      </c>
      <c r="U87" s="4">
        <v>7096.88</v>
      </c>
      <c r="Y87" s="1" t="s">
        <v>51</v>
      </c>
      <c r="Z87" s="3">
        <v>46104</v>
      </c>
      <c r="AA87" s="1" t="s">
        <v>41</v>
      </c>
      <c r="AB87" s="1" t="s">
        <v>42</v>
      </c>
      <c r="AC87" t="b">
        <f t="shared" si="4"/>
        <v>0</v>
      </c>
      <c r="AD87" t="b">
        <f t="shared" si="5"/>
        <v>0</v>
      </c>
      <c r="AE87" t="b">
        <f t="shared" si="6"/>
        <v>0</v>
      </c>
      <c r="AF87" t="b">
        <f t="shared" si="7"/>
        <v>0</v>
      </c>
    </row>
    <row r="88" spans="1:32">
      <c r="A88" t="s">
        <v>436</v>
      </c>
      <c r="B88" s="1" t="s">
        <v>437</v>
      </c>
      <c r="C88" s="2">
        <v>46136.471238425896</v>
      </c>
      <c r="D88" s="1" t="s">
        <v>30</v>
      </c>
      <c r="E88" s="1" t="s">
        <v>438</v>
      </c>
      <c r="F88" s="1" t="s">
        <v>348</v>
      </c>
      <c r="G88" s="3">
        <v>46136</v>
      </c>
      <c r="H88" s="1" t="s">
        <v>439</v>
      </c>
      <c r="I88" s="1" t="s">
        <v>34</v>
      </c>
      <c r="J88" s="1" t="s">
        <v>35</v>
      </c>
      <c r="K88" s="1" t="s">
        <v>244</v>
      </c>
      <c r="L88" t="s">
        <v>348</v>
      </c>
      <c r="M88" s="1" t="s">
        <v>37</v>
      </c>
      <c r="N88" s="3">
        <v>46136</v>
      </c>
      <c r="O88" s="1" t="s">
        <v>30</v>
      </c>
      <c r="P88" s="4">
        <v>6000</v>
      </c>
      <c r="Q88" s="5">
        <v>1</v>
      </c>
      <c r="R88" s="1" t="s">
        <v>38</v>
      </c>
      <c r="S88" s="5">
        <v>55</v>
      </c>
      <c r="T88" s="1" t="s">
        <v>39</v>
      </c>
      <c r="U88" s="4">
        <v>7723.2</v>
      </c>
      <c r="Y88" s="1" t="s">
        <v>227</v>
      </c>
      <c r="Z88" s="3">
        <v>46136</v>
      </c>
      <c r="AA88" s="1" t="s">
        <v>41</v>
      </c>
      <c r="AB88" s="1" t="s">
        <v>42</v>
      </c>
      <c r="AC88" t="b">
        <f t="shared" si="4"/>
        <v>0</v>
      </c>
      <c r="AD88" t="b">
        <f t="shared" si="5"/>
        <v>0</v>
      </c>
      <c r="AE88" t="b">
        <f t="shared" si="6"/>
        <v>0</v>
      </c>
      <c r="AF88" t="b">
        <f t="shared" si="7"/>
        <v>0</v>
      </c>
    </row>
    <row r="89" spans="1:32">
      <c r="A89" t="s">
        <v>440</v>
      </c>
      <c r="B89" s="1" t="s">
        <v>441</v>
      </c>
      <c r="C89" s="2">
        <v>46030.691527777803</v>
      </c>
      <c r="D89" s="1" t="s">
        <v>30</v>
      </c>
      <c r="E89" s="1" t="s">
        <v>442</v>
      </c>
      <c r="F89" s="1" t="s">
        <v>443</v>
      </c>
      <c r="G89" s="3">
        <v>46053</v>
      </c>
      <c r="H89" s="1" t="s">
        <v>444</v>
      </c>
      <c r="I89" s="1" t="s">
        <v>63</v>
      </c>
      <c r="J89" s="1" t="s">
        <v>35</v>
      </c>
      <c r="K89" s="1" t="s">
        <v>244</v>
      </c>
      <c r="L89" t="s">
        <v>443</v>
      </c>
      <c r="N89" s="3">
        <v>46030</v>
      </c>
      <c r="O89" s="1" t="s">
        <v>30</v>
      </c>
      <c r="P89" s="4">
        <v>6000</v>
      </c>
      <c r="Q89" s="5">
        <v>1</v>
      </c>
      <c r="R89" s="1" t="s">
        <v>38</v>
      </c>
      <c r="T89" s="1" t="s">
        <v>39</v>
      </c>
      <c r="U89" s="4">
        <v>7124.4</v>
      </c>
      <c r="V89" s="5">
        <v>0</v>
      </c>
      <c r="W89" s="5">
        <v>3</v>
      </c>
      <c r="Y89" s="1" t="s">
        <v>72</v>
      </c>
      <c r="Z89" s="3">
        <v>46053</v>
      </c>
      <c r="AA89" s="1" t="s">
        <v>41</v>
      </c>
      <c r="AB89" s="1" t="s">
        <v>42</v>
      </c>
      <c r="AC89" t="b">
        <f t="shared" si="4"/>
        <v>0</v>
      </c>
      <c r="AD89" t="b">
        <f t="shared" si="5"/>
        <v>0</v>
      </c>
      <c r="AE89" t="b">
        <f t="shared" si="6"/>
        <v>0</v>
      </c>
      <c r="AF89" t="b">
        <f t="shared" si="7"/>
        <v>0</v>
      </c>
    </row>
    <row r="90" spans="1:32">
      <c r="A90" t="s">
        <v>445</v>
      </c>
      <c r="B90" s="1" t="s">
        <v>446</v>
      </c>
      <c r="C90" s="2">
        <v>46083.030972222201</v>
      </c>
      <c r="D90" s="1" t="s">
        <v>30</v>
      </c>
      <c r="E90" s="1" t="s">
        <v>68</v>
      </c>
      <c r="F90" s="1" t="s">
        <v>69</v>
      </c>
      <c r="G90" s="3">
        <v>46029</v>
      </c>
      <c r="H90" s="1" t="s">
        <v>70</v>
      </c>
      <c r="I90" s="1" t="s">
        <v>63</v>
      </c>
      <c r="J90" s="1" t="s">
        <v>35</v>
      </c>
      <c r="K90" s="1" t="s">
        <v>244</v>
      </c>
      <c r="L90" t="s">
        <v>69</v>
      </c>
      <c r="N90" s="3">
        <v>46029</v>
      </c>
      <c r="O90" s="1" t="s">
        <v>30</v>
      </c>
      <c r="P90" s="4">
        <v>6000</v>
      </c>
      <c r="Q90" s="5">
        <v>19</v>
      </c>
      <c r="R90" s="1" t="s">
        <v>65</v>
      </c>
      <c r="T90" s="1" t="s">
        <v>39</v>
      </c>
      <c r="U90" s="4">
        <v>7124.4</v>
      </c>
      <c r="V90" s="5">
        <v>0</v>
      </c>
      <c r="W90" s="5">
        <v>55</v>
      </c>
      <c r="Y90" s="1" t="s">
        <v>72</v>
      </c>
      <c r="Z90" s="3">
        <v>46029</v>
      </c>
      <c r="AA90" s="1" t="s">
        <v>41</v>
      </c>
      <c r="AB90" s="1" t="s">
        <v>42</v>
      </c>
      <c r="AC90" t="b">
        <f t="shared" si="4"/>
        <v>0</v>
      </c>
      <c r="AD90" t="b">
        <f t="shared" si="5"/>
        <v>0</v>
      </c>
      <c r="AE90" t="b">
        <f t="shared" si="6"/>
        <v>0</v>
      </c>
      <c r="AF90" t="b">
        <f t="shared" si="7"/>
        <v>0</v>
      </c>
    </row>
    <row r="91" spans="1:32">
      <c r="A91" t="s">
        <v>447</v>
      </c>
      <c r="B91" s="1" t="s">
        <v>448</v>
      </c>
      <c r="C91" s="2">
        <v>46176.866145833301</v>
      </c>
      <c r="D91" s="1" t="s">
        <v>30</v>
      </c>
      <c r="E91" s="1" t="s">
        <v>386</v>
      </c>
      <c r="F91" s="1" t="s">
        <v>387</v>
      </c>
      <c r="G91" s="3">
        <v>46175</v>
      </c>
      <c r="H91" s="1" t="s">
        <v>449</v>
      </c>
      <c r="I91" s="1" t="s">
        <v>34</v>
      </c>
      <c r="J91" s="1" t="s">
        <v>450</v>
      </c>
      <c r="K91" s="1" t="s">
        <v>35</v>
      </c>
      <c r="L91" t="s">
        <v>387</v>
      </c>
      <c r="N91" s="3">
        <v>46176</v>
      </c>
      <c r="O91" s="1" t="s">
        <v>30</v>
      </c>
      <c r="P91" s="4">
        <v>6000</v>
      </c>
      <c r="Q91" s="5">
        <v>1</v>
      </c>
      <c r="R91" s="1" t="s">
        <v>38</v>
      </c>
      <c r="S91" s="5">
        <v>350</v>
      </c>
      <c r="T91" s="1" t="s">
        <v>39</v>
      </c>
      <c r="U91" s="4">
        <v>7695.6</v>
      </c>
      <c r="Y91" s="1" t="s">
        <v>58</v>
      </c>
      <c r="Z91" s="3">
        <v>46175</v>
      </c>
      <c r="AA91" s="1" t="s">
        <v>41</v>
      </c>
      <c r="AB91" s="1" t="s">
        <v>42</v>
      </c>
      <c r="AC91" t="b">
        <f t="shared" si="4"/>
        <v>0</v>
      </c>
      <c r="AD91" t="b">
        <f t="shared" si="5"/>
        <v>0</v>
      </c>
      <c r="AE91" t="b">
        <f t="shared" si="6"/>
        <v>0</v>
      </c>
      <c r="AF91" t="b">
        <f t="shared" si="7"/>
        <v>0</v>
      </c>
    </row>
    <row r="92" spans="1:32">
      <c r="A92" t="s">
        <v>451</v>
      </c>
      <c r="B92" s="1" t="s">
        <v>452</v>
      </c>
      <c r="C92" s="2">
        <v>46176.861747685201</v>
      </c>
      <c r="D92" s="1" t="s">
        <v>30</v>
      </c>
      <c r="E92" s="1" t="s">
        <v>386</v>
      </c>
      <c r="F92" s="1" t="s">
        <v>387</v>
      </c>
      <c r="G92" s="3">
        <v>46175</v>
      </c>
      <c r="H92" s="1" t="s">
        <v>388</v>
      </c>
      <c r="I92" s="1" t="s">
        <v>34</v>
      </c>
      <c r="J92" s="1" t="s">
        <v>35</v>
      </c>
      <c r="K92" s="1" t="s">
        <v>57</v>
      </c>
      <c r="L92" t="s">
        <v>387</v>
      </c>
      <c r="N92" s="3">
        <v>46176</v>
      </c>
      <c r="O92" s="1" t="s">
        <v>30</v>
      </c>
      <c r="P92" s="4">
        <v>6000</v>
      </c>
      <c r="Q92" s="5">
        <v>1</v>
      </c>
      <c r="R92" s="1" t="s">
        <v>38</v>
      </c>
      <c r="S92" s="5">
        <v>1000</v>
      </c>
      <c r="T92" s="1" t="s">
        <v>39</v>
      </c>
      <c r="U92" s="4">
        <v>7695.6</v>
      </c>
      <c r="Y92" s="1" t="s">
        <v>58</v>
      </c>
      <c r="Z92" s="3">
        <v>46175</v>
      </c>
      <c r="AA92" s="1" t="s">
        <v>41</v>
      </c>
      <c r="AB92" s="1" t="s">
        <v>42</v>
      </c>
      <c r="AC92" t="b">
        <f t="shared" si="4"/>
        <v>0</v>
      </c>
      <c r="AD92" t="b">
        <f t="shared" si="5"/>
        <v>0</v>
      </c>
      <c r="AE92" t="b">
        <f t="shared" si="6"/>
        <v>0</v>
      </c>
      <c r="AF92" t="b">
        <f t="shared" si="7"/>
        <v>0</v>
      </c>
    </row>
    <row r="93" spans="1:32">
      <c r="A93" t="s">
        <v>453</v>
      </c>
      <c r="B93" s="1" t="s">
        <v>454</v>
      </c>
      <c r="C93" s="2">
        <v>46178.892349537004</v>
      </c>
      <c r="D93" s="1" t="s">
        <v>30</v>
      </c>
      <c r="E93" s="1" t="s">
        <v>455</v>
      </c>
      <c r="F93" s="1" t="s">
        <v>32</v>
      </c>
      <c r="G93" s="3">
        <v>46178</v>
      </c>
      <c r="H93" s="1" t="s">
        <v>456</v>
      </c>
      <c r="I93" s="1" t="s">
        <v>63</v>
      </c>
      <c r="J93" s="1" t="s">
        <v>114</v>
      </c>
      <c r="K93" s="1" t="s">
        <v>35</v>
      </c>
      <c r="L93" t="s">
        <v>32</v>
      </c>
      <c r="M93" s="1" t="s">
        <v>45</v>
      </c>
      <c r="N93" s="3">
        <v>46178</v>
      </c>
      <c r="O93" s="1" t="s">
        <v>30</v>
      </c>
      <c r="P93" s="4">
        <v>6200</v>
      </c>
      <c r="Q93" s="5">
        <v>1</v>
      </c>
      <c r="R93" s="1" t="s">
        <v>38</v>
      </c>
      <c r="T93" s="1" t="s">
        <v>39</v>
      </c>
      <c r="U93" s="4">
        <v>7857.26</v>
      </c>
      <c r="V93" s="5">
        <v>2</v>
      </c>
      <c r="W93" s="5">
        <v>0</v>
      </c>
      <c r="Y93" s="1" t="s">
        <v>40</v>
      </c>
      <c r="Z93" s="3">
        <v>46178</v>
      </c>
      <c r="AA93" s="1" t="s">
        <v>41</v>
      </c>
      <c r="AB93" s="1" t="s">
        <v>42</v>
      </c>
      <c r="AC93" t="b">
        <f t="shared" si="4"/>
        <v>0</v>
      </c>
      <c r="AD93" t="b">
        <f t="shared" si="5"/>
        <v>0</v>
      </c>
      <c r="AE93" t="b">
        <f t="shared" si="6"/>
        <v>0</v>
      </c>
      <c r="AF93" t="b">
        <f t="shared" si="7"/>
        <v>0</v>
      </c>
    </row>
    <row r="94" spans="1:32">
      <c r="A94" t="s">
        <v>457</v>
      </c>
      <c r="B94" s="1" t="s">
        <v>458</v>
      </c>
      <c r="C94" s="2">
        <v>46092.466354166703</v>
      </c>
      <c r="D94" s="1" t="s">
        <v>30</v>
      </c>
      <c r="E94" s="1" t="s">
        <v>459</v>
      </c>
      <c r="F94" s="1" t="s">
        <v>460</v>
      </c>
      <c r="G94" s="3">
        <v>46091</v>
      </c>
      <c r="H94" s="1" t="s">
        <v>461</v>
      </c>
      <c r="I94" s="1" t="s">
        <v>63</v>
      </c>
      <c r="J94" s="1" t="s">
        <v>202</v>
      </c>
      <c r="K94" s="1" t="s">
        <v>35</v>
      </c>
      <c r="L94" t="s">
        <v>460</v>
      </c>
      <c r="M94" s="1" t="s">
        <v>45</v>
      </c>
      <c r="N94" s="3">
        <v>46092</v>
      </c>
      <c r="O94" s="1" t="s">
        <v>30</v>
      </c>
      <c r="P94" s="4">
        <v>6329</v>
      </c>
      <c r="Q94" s="5">
        <v>1</v>
      </c>
      <c r="R94" s="1" t="s">
        <v>38</v>
      </c>
      <c r="T94" s="1" t="s">
        <v>39</v>
      </c>
      <c r="U94" s="4">
        <v>7859.35</v>
      </c>
      <c r="V94" s="5">
        <v>2</v>
      </c>
      <c r="W94" s="5">
        <v>0</v>
      </c>
      <c r="Y94" s="1" t="s">
        <v>227</v>
      </c>
      <c r="Z94" s="3">
        <v>46091</v>
      </c>
      <c r="AA94" s="1" t="s">
        <v>41</v>
      </c>
      <c r="AB94" s="1" t="s">
        <v>42</v>
      </c>
      <c r="AC94" t="b">
        <f t="shared" si="4"/>
        <v>0</v>
      </c>
      <c r="AD94" t="b">
        <f t="shared" si="5"/>
        <v>0</v>
      </c>
      <c r="AE94" t="b">
        <f t="shared" si="6"/>
        <v>0</v>
      </c>
      <c r="AF94" t="b">
        <f t="shared" si="7"/>
        <v>0</v>
      </c>
    </row>
    <row r="95" spans="1:32">
      <c r="A95" t="s">
        <v>462</v>
      </c>
      <c r="B95" s="1" t="s">
        <v>463</v>
      </c>
      <c r="C95" s="2">
        <v>46161.729780092603</v>
      </c>
      <c r="D95" s="1" t="s">
        <v>30</v>
      </c>
      <c r="E95" s="1" t="s">
        <v>304</v>
      </c>
      <c r="F95" s="1" t="s">
        <v>112</v>
      </c>
      <c r="G95" s="3">
        <v>46161</v>
      </c>
      <c r="H95" s="1" t="s">
        <v>464</v>
      </c>
      <c r="I95" s="1" t="s">
        <v>34</v>
      </c>
      <c r="J95" s="1" t="s">
        <v>35</v>
      </c>
      <c r="K95" s="1" t="s">
        <v>324</v>
      </c>
      <c r="L95" t="s">
        <v>112</v>
      </c>
      <c r="M95" s="1" t="s">
        <v>37</v>
      </c>
      <c r="N95" s="3">
        <v>46161</v>
      </c>
      <c r="O95" s="1" t="s">
        <v>30</v>
      </c>
      <c r="P95" s="4">
        <v>6540</v>
      </c>
      <c r="Q95" s="5">
        <v>1</v>
      </c>
      <c r="R95" s="1" t="s">
        <v>38</v>
      </c>
      <c r="S95" s="5">
        <v>605</v>
      </c>
      <c r="T95" s="1" t="s">
        <v>39</v>
      </c>
      <c r="U95" s="4">
        <v>8386.24</v>
      </c>
      <c r="Y95" s="1" t="s">
        <v>115</v>
      </c>
      <c r="Z95" s="3">
        <v>46161</v>
      </c>
      <c r="AA95" s="1" t="s">
        <v>41</v>
      </c>
      <c r="AB95" s="1" t="s">
        <v>42</v>
      </c>
      <c r="AC95" t="b">
        <f t="shared" si="4"/>
        <v>0</v>
      </c>
      <c r="AD95" t="b">
        <f t="shared" si="5"/>
        <v>0</v>
      </c>
      <c r="AE95" t="b">
        <f t="shared" si="6"/>
        <v>0</v>
      </c>
      <c r="AF95" t="b">
        <f t="shared" si="7"/>
        <v>0</v>
      </c>
    </row>
    <row r="96" spans="1:32">
      <c r="A96" t="s">
        <v>465</v>
      </c>
      <c r="B96" s="1" t="s">
        <v>466</v>
      </c>
      <c r="C96" s="2">
        <v>46123.482187499998</v>
      </c>
      <c r="D96" s="1" t="s">
        <v>30</v>
      </c>
      <c r="E96" s="1" t="s">
        <v>467</v>
      </c>
      <c r="F96" s="1" t="s">
        <v>200</v>
      </c>
      <c r="G96" s="3">
        <v>46124</v>
      </c>
      <c r="H96" s="1" t="s">
        <v>468</v>
      </c>
      <c r="I96" s="1" t="s">
        <v>34</v>
      </c>
      <c r="J96" s="1" t="s">
        <v>35</v>
      </c>
      <c r="K96" s="1" t="s">
        <v>168</v>
      </c>
      <c r="L96" t="s">
        <v>200</v>
      </c>
      <c r="M96" s="1" t="s">
        <v>45</v>
      </c>
      <c r="N96" s="3">
        <v>46123</v>
      </c>
      <c r="O96" s="1" t="s">
        <v>30</v>
      </c>
      <c r="P96" s="4">
        <v>6702</v>
      </c>
      <c r="Q96" s="5">
        <v>1</v>
      </c>
      <c r="R96" s="1" t="s">
        <v>38</v>
      </c>
      <c r="S96" s="5">
        <v>54</v>
      </c>
      <c r="T96" s="1" t="s">
        <v>39</v>
      </c>
      <c r="U96" s="4">
        <v>8461.2800000000007</v>
      </c>
      <c r="Y96" s="1" t="s">
        <v>40</v>
      </c>
      <c r="Z96" s="3">
        <v>46124</v>
      </c>
      <c r="AA96" s="1" t="s">
        <v>41</v>
      </c>
      <c r="AB96" s="1" t="s">
        <v>208</v>
      </c>
      <c r="AC96" t="b">
        <f t="shared" si="4"/>
        <v>0</v>
      </c>
      <c r="AD96" t="b">
        <f t="shared" si="5"/>
        <v>0</v>
      </c>
      <c r="AE96" t="b">
        <f t="shared" si="6"/>
        <v>0</v>
      </c>
      <c r="AF96" t="b">
        <f t="shared" si="7"/>
        <v>0</v>
      </c>
    </row>
    <row r="97" spans="1:32">
      <c r="A97" t="s">
        <v>469</v>
      </c>
      <c r="B97" s="1" t="s">
        <v>470</v>
      </c>
      <c r="C97" s="2">
        <v>46162.880624999998</v>
      </c>
      <c r="D97" s="1" t="s">
        <v>30</v>
      </c>
      <c r="E97" s="1" t="s">
        <v>347</v>
      </c>
      <c r="F97" s="1" t="s">
        <v>348</v>
      </c>
      <c r="G97" s="3">
        <v>46164</v>
      </c>
      <c r="H97" s="1" t="s">
        <v>471</v>
      </c>
      <c r="I97" s="1" t="s">
        <v>34</v>
      </c>
      <c r="J97" s="1" t="s">
        <v>103</v>
      </c>
      <c r="K97" s="1" t="s">
        <v>35</v>
      </c>
      <c r="L97" t="s">
        <v>348</v>
      </c>
      <c r="N97" s="3">
        <v>46162</v>
      </c>
      <c r="O97" s="1" t="s">
        <v>30</v>
      </c>
      <c r="P97" s="4">
        <v>7000</v>
      </c>
      <c r="Q97" s="5">
        <v>10</v>
      </c>
      <c r="R97" s="1" t="s">
        <v>65</v>
      </c>
      <c r="S97" s="5">
        <v>500</v>
      </c>
      <c r="T97" s="1" t="s">
        <v>39</v>
      </c>
      <c r="U97" s="4">
        <v>8967.7000000000007</v>
      </c>
      <c r="Y97" s="1" t="s">
        <v>227</v>
      </c>
      <c r="Z97" s="3">
        <v>46164</v>
      </c>
      <c r="AA97" s="1" t="s">
        <v>41</v>
      </c>
      <c r="AB97" s="1" t="s">
        <v>42</v>
      </c>
      <c r="AC97" t="b">
        <f t="shared" si="4"/>
        <v>0</v>
      </c>
      <c r="AD97" t="b">
        <f t="shared" si="5"/>
        <v>0</v>
      </c>
      <c r="AE97" t="b">
        <f t="shared" si="6"/>
        <v>0</v>
      </c>
      <c r="AF97" t="b">
        <f t="shared" si="7"/>
        <v>0</v>
      </c>
    </row>
    <row r="98" spans="1:32">
      <c r="A98" t="s">
        <v>472</v>
      </c>
      <c r="B98" s="1" t="s">
        <v>473</v>
      </c>
      <c r="C98" s="2">
        <v>46127.680335648103</v>
      </c>
      <c r="D98" s="1" t="s">
        <v>30</v>
      </c>
      <c r="E98" s="1" t="s">
        <v>474</v>
      </c>
      <c r="F98" s="1" t="s">
        <v>112</v>
      </c>
      <c r="G98" s="3">
        <v>46129</v>
      </c>
      <c r="H98" s="1" t="s">
        <v>475</v>
      </c>
      <c r="I98" s="1" t="s">
        <v>34</v>
      </c>
      <c r="J98" s="1" t="s">
        <v>35</v>
      </c>
      <c r="K98" s="1" t="s">
        <v>35</v>
      </c>
      <c r="L98" t="s">
        <v>112</v>
      </c>
      <c r="M98" s="1" t="s">
        <v>37</v>
      </c>
      <c r="N98" s="3">
        <v>46127</v>
      </c>
      <c r="O98" s="1" t="s">
        <v>30</v>
      </c>
      <c r="P98" s="4">
        <v>7060</v>
      </c>
      <c r="Q98" s="5">
        <v>1</v>
      </c>
      <c r="R98" s="1" t="s">
        <v>38</v>
      </c>
      <c r="S98" s="5">
        <v>300</v>
      </c>
      <c r="T98" s="1" t="s">
        <v>39</v>
      </c>
      <c r="U98" s="4">
        <v>8963.3700000000008</v>
      </c>
      <c r="Y98" s="1" t="s">
        <v>115</v>
      </c>
      <c r="Z98" s="3">
        <v>46129</v>
      </c>
      <c r="AA98" s="1" t="s">
        <v>41</v>
      </c>
      <c r="AB98" s="1" t="s">
        <v>42</v>
      </c>
      <c r="AC98" t="b">
        <f t="shared" si="4"/>
        <v>0</v>
      </c>
      <c r="AD98" t="b">
        <f t="shared" si="5"/>
        <v>0</v>
      </c>
      <c r="AE98" t="b">
        <f t="shared" si="6"/>
        <v>0</v>
      </c>
      <c r="AF98" t="b">
        <f t="shared" si="7"/>
        <v>0</v>
      </c>
    </row>
    <row r="99" spans="1:32">
      <c r="A99" t="s">
        <v>476</v>
      </c>
      <c r="B99" s="1" t="s">
        <v>477</v>
      </c>
      <c r="C99" s="2">
        <v>46151.519791666702</v>
      </c>
      <c r="D99" s="1" t="s">
        <v>30</v>
      </c>
      <c r="E99" s="1" t="s">
        <v>478</v>
      </c>
      <c r="F99" s="1" t="s">
        <v>200</v>
      </c>
      <c r="G99" s="3">
        <v>46151</v>
      </c>
      <c r="H99" s="1" t="s">
        <v>479</v>
      </c>
      <c r="I99" s="1" t="s">
        <v>34</v>
      </c>
      <c r="J99" s="1" t="s">
        <v>35</v>
      </c>
      <c r="K99" s="1" t="s">
        <v>244</v>
      </c>
      <c r="L99" t="s">
        <v>200</v>
      </c>
      <c r="M99" s="1" t="s">
        <v>45</v>
      </c>
      <c r="N99" s="3">
        <v>46151</v>
      </c>
      <c r="O99" s="1" t="s">
        <v>30</v>
      </c>
      <c r="P99" s="4">
        <v>7195</v>
      </c>
      <c r="Q99" s="5">
        <v>1</v>
      </c>
      <c r="R99" s="1" t="s">
        <v>38</v>
      </c>
      <c r="S99" s="5">
        <v>717</v>
      </c>
      <c r="T99" s="1" t="s">
        <v>39</v>
      </c>
      <c r="U99" s="4">
        <v>9303.86</v>
      </c>
      <c r="Y99" s="1" t="s">
        <v>40</v>
      </c>
      <c r="Z99" s="3">
        <v>46151</v>
      </c>
      <c r="AA99" s="1" t="s">
        <v>41</v>
      </c>
      <c r="AB99" s="1" t="s">
        <v>42</v>
      </c>
      <c r="AC99" t="b">
        <f t="shared" si="4"/>
        <v>0</v>
      </c>
      <c r="AD99" t="b">
        <f t="shared" si="5"/>
        <v>0</v>
      </c>
      <c r="AE99" t="b">
        <f t="shared" si="6"/>
        <v>0</v>
      </c>
      <c r="AF99" t="b">
        <f t="shared" si="7"/>
        <v>0</v>
      </c>
    </row>
    <row r="100" spans="1:32">
      <c r="A100" t="s">
        <v>480</v>
      </c>
      <c r="B100" s="1" t="s">
        <v>481</v>
      </c>
      <c r="C100" s="2">
        <v>46150.460162037001</v>
      </c>
      <c r="D100" s="1" t="s">
        <v>30</v>
      </c>
      <c r="E100" s="1" t="s">
        <v>230</v>
      </c>
      <c r="F100" s="1" t="s">
        <v>69</v>
      </c>
      <c r="G100" s="3">
        <v>46150</v>
      </c>
      <c r="H100" s="1" t="s">
        <v>482</v>
      </c>
      <c r="I100" s="1" t="s">
        <v>63</v>
      </c>
      <c r="J100" s="1" t="s">
        <v>35</v>
      </c>
      <c r="K100" s="1" t="s">
        <v>483</v>
      </c>
      <c r="L100" t="s">
        <v>69</v>
      </c>
      <c r="N100" s="3">
        <v>46150</v>
      </c>
      <c r="O100" s="1" t="s">
        <v>30</v>
      </c>
      <c r="P100" s="4">
        <v>7200</v>
      </c>
      <c r="Q100" s="5">
        <v>1</v>
      </c>
      <c r="R100" s="1" t="s">
        <v>38</v>
      </c>
      <c r="T100" s="1" t="s">
        <v>39</v>
      </c>
      <c r="U100" s="4">
        <v>9342.7199999999993</v>
      </c>
      <c r="V100" s="5">
        <v>2</v>
      </c>
      <c r="W100" s="5">
        <v>0</v>
      </c>
      <c r="Y100" s="1" t="s">
        <v>72</v>
      </c>
      <c r="Z100" s="3">
        <v>46150</v>
      </c>
      <c r="AA100" s="1" t="s">
        <v>41</v>
      </c>
      <c r="AB100" s="1" t="s">
        <v>42</v>
      </c>
      <c r="AC100" t="b">
        <f t="shared" si="4"/>
        <v>0</v>
      </c>
      <c r="AD100" t="b">
        <f t="shared" si="5"/>
        <v>0</v>
      </c>
      <c r="AE100" t="b">
        <f t="shared" si="6"/>
        <v>0</v>
      </c>
      <c r="AF100" t="b">
        <f t="shared" si="7"/>
        <v>0</v>
      </c>
    </row>
    <row r="101" spans="1:32">
      <c r="A101" t="s">
        <v>484</v>
      </c>
      <c r="B101" s="1" t="s">
        <v>485</v>
      </c>
      <c r="C101" s="2">
        <v>46119.878622685203</v>
      </c>
      <c r="D101" s="1" t="s">
        <v>30</v>
      </c>
      <c r="E101" s="1" t="s">
        <v>486</v>
      </c>
      <c r="F101" s="1" t="s">
        <v>487</v>
      </c>
      <c r="G101" s="3">
        <v>46120</v>
      </c>
      <c r="H101" s="1" t="s">
        <v>488</v>
      </c>
      <c r="I101" s="1" t="s">
        <v>63</v>
      </c>
      <c r="J101" s="1" t="s">
        <v>35</v>
      </c>
      <c r="K101" s="1" t="s">
        <v>489</v>
      </c>
      <c r="L101" t="s">
        <v>487</v>
      </c>
      <c r="M101" s="1" t="s">
        <v>37</v>
      </c>
      <c r="N101" s="3">
        <v>46119</v>
      </c>
      <c r="O101" s="1" t="s">
        <v>30</v>
      </c>
      <c r="P101" s="4">
        <v>7420</v>
      </c>
      <c r="Q101" s="5">
        <v>1</v>
      </c>
      <c r="R101" s="1" t="s">
        <v>38</v>
      </c>
      <c r="T101" s="1" t="s">
        <v>39</v>
      </c>
      <c r="U101" s="4">
        <v>9333.6200000000008</v>
      </c>
      <c r="V101" s="5">
        <v>0</v>
      </c>
      <c r="W101" s="5">
        <v>9</v>
      </c>
      <c r="Y101" s="1" t="s">
        <v>72</v>
      </c>
      <c r="Z101" s="3">
        <v>46120</v>
      </c>
      <c r="AA101" s="1" t="s">
        <v>41</v>
      </c>
      <c r="AB101" s="1" t="s">
        <v>42</v>
      </c>
      <c r="AC101" t="b">
        <f t="shared" si="4"/>
        <v>0</v>
      </c>
      <c r="AD101" t="b">
        <f t="shared" si="5"/>
        <v>0</v>
      </c>
      <c r="AE101" t="b">
        <f t="shared" si="6"/>
        <v>0</v>
      </c>
      <c r="AF101" t="b">
        <f t="shared" si="7"/>
        <v>0</v>
      </c>
    </row>
    <row r="102" spans="1:32">
      <c r="A102" t="s">
        <v>490</v>
      </c>
      <c r="B102" s="1" t="s">
        <v>491</v>
      </c>
      <c r="C102" s="2">
        <v>46097.859340277799</v>
      </c>
      <c r="D102" s="1" t="s">
        <v>30</v>
      </c>
      <c r="E102" s="1" t="s">
        <v>492</v>
      </c>
      <c r="F102" s="1" t="s">
        <v>89</v>
      </c>
      <c r="G102" s="3">
        <v>46097</v>
      </c>
      <c r="H102" s="1" t="s">
        <v>493</v>
      </c>
      <c r="I102" s="1" t="s">
        <v>63</v>
      </c>
      <c r="J102" s="1" t="s">
        <v>35</v>
      </c>
      <c r="K102" s="1" t="s">
        <v>114</v>
      </c>
      <c r="L102" t="s">
        <v>89</v>
      </c>
      <c r="N102" s="3">
        <v>46097</v>
      </c>
      <c r="O102" s="1" t="s">
        <v>30</v>
      </c>
      <c r="P102" s="4">
        <v>7500</v>
      </c>
      <c r="Q102" s="5">
        <v>1</v>
      </c>
      <c r="R102" s="1" t="s">
        <v>38</v>
      </c>
      <c r="T102" s="1" t="s">
        <v>39</v>
      </c>
      <c r="U102" s="4">
        <v>9282.75</v>
      </c>
      <c r="V102" s="5">
        <v>0</v>
      </c>
      <c r="W102" s="5">
        <v>4</v>
      </c>
      <c r="Y102" s="1" t="s">
        <v>92</v>
      </c>
      <c r="Z102" s="3">
        <v>46097</v>
      </c>
      <c r="AA102" s="1" t="s">
        <v>41</v>
      </c>
      <c r="AB102" s="1" t="s">
        <v>42</v>
      </c>
      <c r="AC102" t="b">
        <f t="shared" si="4"/>
        <v>0</v>
      </c>
      <c r="AD102" t="b">
        <f t="shared" si="5"/>
        <v>0</v>
      </c>
      <c r="AE102" t="b">
        <f t="shared" si="6"/>
        <v>0</v>
      </c>
      <c r="AF102" t="b">
        <f t="shared" si="7"/>
        <v>0</v>
      </c>
    </row>
    <row r="103" spans="1:32">
      <c r="A103" t="s">
        <v>494</v>
      </c>
      <c r="B103" s="1" t="s">
        <v>495</v>
      </c>
      <c r="C103" s="2">
        <v>46056.728055555599</v>
      </c>
      <c r="D103" s="1" t="s">
        <v>30</v>
      </c>
      <c r="E103" s="1" t="s">
        <v>496</v>
      </c>
      <c r="F103" s="1" t="s">
        <v>112</v>
      </c>
      <c r="G103" s="3">
        <v>46064</v>
      </c>
      <c r="H103" s="1" t="s">
        <v>497</v>
      </c>
      <c r="I103" s="1" t="s">
        <v>34</v>
      </c>
      <c r="J103" s="1" t="s">
        <v>35</v>
      </c>
      <c r="K103" s="1" t="s">
        <v>280</v>
      </c>
      <c r="L103" t="s">
        <v>112</v>
      </c>
      <c r="M103" s="1" t="s">
        <v>37</v>
      </c>
      <c r="N103" s="3">
        <v>46056</v>
      </c>
      <c r="O103" s="1" t="s">
        <v>30</v>
      </c>
      <c r="P103" s="4">
        <v>7620</v>
      </c>
      <c r="Q103" s="5">
        <v>1</v>
      </c>
      <c r="R103" s="1" t="s">
        <v>38</v>
      </c>
      <c r="S103" s="5">
        <v>1623</v>
      </c>
      <c r="T103" s="1" t="s">
        <v>39</v>
      </c>
      <c r="U103" s="4">
        <v>9217.91</v>
      </c>
      <c r="Y103" s="1" t="s">
        <v>115</v>
      </c>
      <c r="Z103" s="3">
        <v>46064</v>
      </c>
      <c r="AA103" s="1" t="s">
        <v>41</v>
      </c>
      <c r="AB103" s="1" t="s">
        <v>42</v>
      </c>
      <c r="AC103" t="b">
        <f t="shared" si="4"/>
        <v>0</v>
      </c>
      <c r="AD103" t="b">
        <f t="shared" si="5"/>
        <v>0</v>
      </c>
      <c r="AE103" t="b">
        <f t="shared" si="6"/>
        <v>0</v>
      </c>
      <c r="AF103" t="b">
        <f t="shared" si="7"/>
        <v>0</v>
      </c>
    </row>
    <row r="104" spans="1:32">
      <c r="A104" t="s">
        <v>498</v>
      </c>
      <c r="B104" s="1" t="s">
        <v>499</v>
      </c>
      <c r="C104" s="2">
        <v>46071.7288541667</v>
      </c>
      <c r="D104" s="1" t="s">
        <v>30</v>
      </c>
      <c r="E104" s="1" t="s">
        <v>304</v>
      </c>
      <c r="F104" s="1" t="s">
        <v>112</v>
      </c>
      <c r="G104" s="3">
        <v>46071</v>
      </c>
      <c r="H104" s="1" t="s">
        <v>500</v>
      </c>
      <c r="I104" s="1" t="s">
        <v>34</v>
      </c>
      <c r="J104" s="1" t="s">
        <v>357</v>
      </c>
      <c r="K104" s="1" t="s">
        <v>35</v>
      </c>
      <c r="L104" t="s">
        <v>112</v>
      </c>
      <c r="M104" s="1" t="s">
        <v>45</v>
      </c>
      <c r="N104" s="3">
        <v>46071</v>
      </c>
      <c r="O104" s="1" t="s">
        <v>30</v>
      </c>
      <c r="P104" s="4">
        <v>8000</v>
      </c>
      <c r="Q104" s="5">
        <v>1</v>
      </c>
      <c r="R104" s="1" t="s">
        <v>38</v>
      </c>
      <c r="S104" s="5">
        <v>1200</v>
      </c>
      <c r="T104" s="1" t="s">
        <v>39</v>
      </c>
      <c r="U104" s="4">
        <v>9665.6</v>
      </c>
      <c r="Y104" s="1" t="s">
        <v>115</v>
      </c>
      <c r="Z104" s="3">
        <v>46071</v>
      </c>
      <c r="AA104" s="1" t="s">
        <v>41</v>
      </c>
      <c r="AB104" s="1" t="s">
        <v>42</v>
      </c>
      <c r="AC104" t="b">
        <f t="shared" si="4"/>
        <v>0</v>
      </c>
      <c r="AD104" t="b">
        <f t="shared" si="5"/>
        <v>0</v>
      </c>
      <c r="AE104" t="b">
        <f t="shared" si="6"/>
        <v>0</v>
      </c>
      <c r="AF104" t="b">
        <f t="shared" si="7"/>
        <v>0</v>
      </c>
    </row>
    <row r="105" spans="1:32">
      <c r="A105" t="s">
        <v>501</v>
      </c>
      <c r="B105" s="1" t="s">
        <v>502</v>
      </c>
      <c r="C105" s="2">
        <v>46178.823784722197</v>
      </c>
      <c r="D105" s="1" t="s">
        <v>30</v>
      </c>
      <c r="E105" s="1" t="s">
        <v>503</v>
      </c>
      <c r="F105" s="1" t="s">
        <v>504</v>
      </c>
      <c r="H105" s="1" t="s">
        <v>505</v>
      </c>
      <c r="I105" s="1" t="s">
        <v>34</v>
      </c>
      <c r="J105" s="1" t="s">
        <v>35</v>
      </c>
      <c r="K105" s="1" t="s">
        <v>215</v>
      </c>
      <c r="L105" t="s">
        <v>504</v>
      </c>
      <c r="M105" s="1" t="s">
        <v>37</v>
      </c>
      <c r="O105" s="1" t="s">
        <v>30</v>
      </c>
      <c r="P105" s="4">
        <v>8000</v>
      </c>
      <c r="Q105" s="5">
        <v>4</v>
      </c>
      <c r="S105" s="5">
        <v>300</v>
      </c>
      <c r="T105" s="1" t="s">
        <v>39</v>
      </c>
      <c r="U105" s="4">
        <v>10138.4</v>
      </c>
      <c r="Y105" s="1" t="s">
        <v>115</v>
      </c>
      <c r="Z105" s="3">
        <v>46231</v>
      </c>
      <c r="AA105" s="1" t="s">
        <v>506</v>
      </c>
      <c r="AB105" s="1" t="s">
        <v>507</v>
      </c>
      <c r="AC105" t="b">
        <f t="shared" si="4"/>
        <v>0</v>
      </c>
      <c r="AD105" t="b">
        <f t="shared" si="5"/>
        <v>0</v>
      </c>
      <c r="AE105" t="b">
        <f t="shared" si="6"/>
        <v>0</v>
      </c>
      <c r="AF105" t="b">
        <f t="shared" si="7"/>
        <v>0</v>
      </c>
    </row>
    <row r="106" spans="1:32">
      <c r="A106" t="s">
        <v>508</v>
      </c>
      <c r="B106" s="1" t="s">
        <v>509</v>
      </c>
      <c r="C106" s="2">
        <v>46178.5288194444</v>
      </c>
      <c r="D106" s="1" t="s">
        <v>30</v>
      </c>
      <c r="E106" s="1" t="s">
        <v>510</v>
      </c>
      <c r="F106" s="1" t="s">
        <v>348</v>
      </c>
      <c r="G106" s="3">
        <v>46178</v>
      </c>
      <c r="H106" s="1" t="s">
        <v>511</v>
      </c>
      <c r="I106" s="1" t="s">
        <v>34</v>
      </c>
      <c r="J106" s="1" t="s">
        <v>512</v>
      </c>
      <c r="K106" s="1" t="s">
        <v>35</v>
      </c>
      <c r="L106" t="s">
        <v>348</v>
      </c>
      <c r="N106" s="3">
        <v>46178</v>
      </c>
      <c r="O106" s="1" t="s">
        <v>30</v>
      </c>
      <c r="P106" s="4">
        <v>8000</v>
      </c>
      <c r="Q106" s="5">
        <v>1</v>
      </c>
      <c r="R106" s="1" t="s">
        <v>38</v>
      </c>
      <c r="S106" s="5">
        <v>400</v>
      </c>
      <c r="T106" s="1" t="s">
        <v>39</v>
      </c>
      <c r="U106" s="4">
        <v>10138.4</v>
      </c>
      <c r="Y106" s="1" t="s">
        <v>227</v>
      </c>
      <c r="Z106" s="3">
        <v>46178</v>
      </c>
      <c r="AA106" s="1" t="s">
        <v>41</v>
      </c>
      <c r="AB106" s="1" t="s">
        <v>42</v>
      </c>
      <c r="AC106" t="b">
        <f t="shared" si="4"/>
        <v>0</v>
      </c>
      <c r="AD106" t="b">
        <f t="shared" si="5"/>
        <v>0</v>
      </c>
      <c r="AE106" t="b">
        <f t="shared" si="6"/>
        <v>0</v>
      </c>
      <c r="AF106" t="b">
        <f t="shared" si="7"/>
        <v>0</v>
      </c>
    </row>
    <row r="107" spans="1:32">
      <c r="A107" t="s">
        <v>513</v>
      </c>
      <c r="B107" s="1" t="s">
        <v>514</v>
      </c>
      <c r="C107" s="2">
        <v>46136.783171296302</v>
      </c>
      <c r="D107" s="1" t="s">
        <v>30</v>
      </c>
      <c r="E107" s="1" t="s">
        <v>515</v>
      </c>
      <c r="F107" s="1" t="s">
        <v>328</v>
      </c>
      <c r="G107" s="3">
        <v>46138</v>
      </c>
      <c r="H107" s="1" t="s">
        <v>516</v>
      </c>
      <c r="I107" s="1" t="s">
        <v>34</v>
      </c>
      <c r="J107" s="1" t="s">
        <v>220</v>
      </c>
      <c r="K107" s="1" t="s">
        <v>35</v>
      </c>
      <c r="L107" t="s">
        <v>328</v>
      </c>
      <c r="M107" s="1" t="s">
        <v>45</v>
      </c>
      <c r="N107" s="3">
        <v>46136</v>
      </c>
      <c r="O107" s="1" t="s">
        <v>30</v>
      </c>
      <c r="P107" s="4">
        <v>8232</v>
      </c>
      <c r="Q107" s="5">
        <v>1</v>
      </c>
      <c r="R107" s="1" t="s">
        <v>38</v>
      </c>
      <c r="S107" s="5">
        <v>200</v>
      </c>
      <c r="T107" s="1" t="s">
        <v>39</v>
      </c>
      <c r="U107" s="4">
        <v>10493.33</v>
      </c>
      <c r="Y107" s="1" t="s">
        <v>72</v>
      </c>
      <c r="Z107" s="3">
        <v>46138</v>
      </c>
      <c r="AA107" s="1" t="s">
        <v>41</v>
      </c>
      <c r="AB107" s="1" t="s">
        <v>208</v>
      </c>
      <c r="AC107" t="b">
        <f t="shared" si="4"/>
        <v>0</v>
      </c>
      <c r="AD107" t="b">
        <f t="shared" si="5"/>
        <v>0</v>
      </c>
      <c r="AE107" t="b">
        <f t="shared" si="6"/>
        <v>0</v>
      </c>
      <c r="AF107" t="b">
        <f t="shared" si="7"/>
        <v>0</v>
      </c>
    </row>
    <row r="108" spans="1:32">
      <c r="A108" t="s">
        <v>517</v>
      </c>
      <c r="B108" s="1" t="s">
        <v>518</v>
      </c>
      <c r="C108" s="2">
        <v>46121.617013888899</v>
      </c>
      <c r="D108" s="1" t="s">
        <v>30</v>
      </c>
      <c r="E108" s="1" t="s">
        <v>519</v>
      </c>
      <c r="F108" s="1" t="s">
        <v>49</v>
      </c>
      <c r="G108" s="3">
        <v>46121</v>
      </c>
      <c r="H108" s="1" t="s">
        <v>520</v>
      </c>
      <c r="I108" s="1" t="s">
        <v>34</v>
      </c>
      <c r="J108" s="1" t="s">
        <v>35</v>
      </c>
      <c r="K108" s="1" t="s">
        <v>57</v>
      </c>
      <c r="L108" t="s">
        <v>49</v>
      </c>
      <c r="N108" s="3">
        <v>46121</v>
      </c>
      <c r="O108" s="1" t="s">
        <v>30</v>
      </c>
      <c r="P108" s="4">
        <v>8300</v>
      </c>
      <c r="Q108" s="5">
        <v>1</v>
      </c>
      <c r="R108" s="1" t="s">
        <v>38</v>
      </c>
      <c r="S108" s="5">
        <v>428</v>
      </c>
      <c r="T108" s="1" t="s">
        <v>39</v>
      </c>
      <c r="U108" s="4">
        <v>10404.879999999999</v>
      </c>
      <c r="Y108" s="1" t="s">
        <v>51</v>
      </c>
      <c r="Z108" s="3">
        <v>46121</v>
      </c>
      <c r="AA108" s="1" t="s">
        <v>41</v>
      </c>
      <c r="AB108" s="1" t="s">
        <v>42</v>
      </c>
      <c r="AC108" t="b">
        <f t="shared" si="4"/>
        <v>0</v>
      </c>
      <c r="AD108" t="b">
        <f t="shared" si="5"/>
        <v>0</v>
      </c>
      <c r="AE108" t="b">
        <f t="shared" si="6"/>
        <v>0</v>
      </c>
      <c r="AF108" t="b">
        <f t="shared" si="7"/>
        <v>0</v>
      </c>
    </row>
    <row r="109" spans="1:32">
      <c r="A109" t="s">
        <v>521</v>
      </c>
      <c r="B109" s="1" t="s">
        <v>522</v>
      </c>
      <c r="C109" s="2">
        <v>46176.575960648202</v>
      </c>
      <c r="D109" s="1" t="s">
        <v>30</v>
      </c>
      <c r="E109" s="1" t="s">
        <v>523</v>
      </c>
      <c r="F109" s="1" t="s">
        <v>524</v>
      </c>
      <c r="G109" s="3">
        <v>46176</v>
      </c>
      <c r="H109" s="1" t="s">
        <v>525</v>
      </c>
      <c r="I109" s="1" t="s">
        <v>34</v>
      </c>
      <c r="J109" s="1" t="s">
        <v>108</v>
      </c>
      <c r="K109" s="1" t="s">
        <v>35</v>
      </c>
      <c r="L109" t="s">
        <v>524</v>
      </c>
      <c r="M109" s="1" t="s">
        <v>45</v>
      </c>
      <c r="N109" s="3">
        <v>46176</v>
      </c>
      <c r="O109" s="1" t="s">
        <v>30</v>
      </c>
      <c r="P109" s="4">
        <v>8550</v>
      </c>
      <c r="Q109" s="5">
        <v>1</v>
      </c>
      <c r="R109" s="1" t="s">
        <v>65</v>
      </c>
      <c r="S109" s="5">
        <v>55</v>
      </c>
      <c r="T109" s="1" t="s">
        <v>39</v>
      </c>
      <c r="U109" s="4">
        <v>10940.58</v>
      </c>
      <c r="Y109" s="1" t="s">
        <v>227</v>
      </c>
      <c r="Z109" s="3">
        <v>46176</v>
      </c>
      <c r="AA109" s="1" t="s">
        <v>41</v>
      </c>
      <c r="AB109" s="1" t="s">
        <v>42</v>
      </c>
      <c r="AC109" t="b">
        <f t="shared" si="4"/>
        <v>0</v>
      </c>
      <c r="AD109" t="b">
        <f t="shared" si="5"/>
        <v>0</v>
      </c>
      <c r="AE109" t="b">
        <f t="shared" si="6"/>
        <v>0</v>
      </c>
      <c r="AF109" t="b">
        <f t="shared" si="7"/>
        <v>0</v>
      </c>
    </row>
    <row r="110" spans="1:32">
      <c r="A110" t="s">
        <v>526</v>
      </c>
      <c r="B110" s="1" t="s">
        <v>527</v>
      </c>
      <c r="C110" s="2">
        <v>46160.488599536999</v>
      </c>
      <c r="D110" s="1" t="s">
        <v>30</v>
      </c>
      <c r="E110" s="1" t="s">
        <v>528</v>
      </c>
      <c r="F110" s="1" t="s">
        <v>460</v>
      </c>
      <c r="G110" s="3">
        <v>46157</v>
      </c>
      <c r="H110" s="1" t="s">
        <v>529</v>
      </c>
      <c r="I110" s="1" t="s">
        <v>63</v>
      </c>
      <c r="J110" s="1" t="s">
        <v>35</v>
      </c>
      <c r="K110" s="1" t="s">
        <v>211</v>
      </c>
      <c r="L110" t="s">
        <v>460</v>
      </c>
      <c r="M110" s="1" t="s">
        <v>45</v>
      </c>
      <c r="N110" s="3">
        <v>46160</v>
      </c>
      <c r="O110" s="1" t="s">
        <v>30</v>
      </c>
      <c r="P110" s="4">
        <v>8646</v>
      </c>
      <c r="Q110" s="5">
        <v>1</v>
      </c>
      <c r="R110" s="1" t="s">
        <v>38</v>
      </c>
      <c r="T110" s="1" t="s">
        <v>39</v>
      </c>
      <c r="U110" s="4">
        <v>11266.61</v>
      </c>
      <c r="V110" s="5">
        <v>0</v>
      </c>
      <c r="W110" s="5">
        <v>5</v>
      </c>
      <c r="Y110" s="1" t="s">
        <v>227</v>
      </c>
      <c r="Z110" s="3">
        <v>46157</v>
      </c>
      <c r="AA110" s="1" t="s">
        <v>41</v>
      </c>
      <c r="AB110" s="1" t="s">
        <v>42</v>
      </c>
      <c r="AC110" t="b">
        <f t="shared" si="4"/>
        <v>0</v>
      </c>
      <c r="AD110" t="b">
        <f t="shared" si="5"/>
        <v>0</v>
      </c>
      <c r="AE110" t="b">
        <f t="shared" si="6"/>
        <v>0</v>
      </c>
      <c r="AF110" t="b">
        <f t="shared" si="7"/>
        <v>0</v>
      </c>
    </row>
    <row r="111" spans="1:32">
      <c r="A111" t="s">
        <v>530</v>
      </c>
      <c r="B111" s="1" t="s">
        <v>531</v>
      </c>
      <c r="C111" s="2">
        <v>46055.511504629598</v>
      </c>
      <c r="D111" s="1" t="s">
        <v>30</v>
      </c>
      <c r="E111" s="1" t="s">
        <v>532</v>
      </c>
      <c r="F111" s="1" t="s">
        <v>533</v>
      </c>
      <c r="G111" s="3">
        <v>46054</v>
      </c>
      <c r="H111" s="1" t="s">
        <v>534</v>
      </c>
      <c r="I111" s="1" t="s">
        <v>63</v>
      </c>
      <c r="J111" s="1" t="s">
        <v>35</v>
      </c>
      <c r="K111" s="1" t="s">
        <v>232</v>
      </c>
      <c r="L111" t="s">
        <v>274</v>
      </c>
      <c r="M111" s="1" t="s">
        <v>37</v>
      </c>
      <c r="N111" s="3">
        <v>46055</v>
      </c>
      <c r="O111" s="1" t="s">
        <v>30</v>
      </c>
      <c r="P111" s="4">
        <v>8897</v>
      </c>
      <c r="Q111" s="5">
        <v>1</v>
      </c>
      <c r="R111" s="1" t="s">
        <v>38</v>
      </c>
      <c r="T111" s="1" t="s">
        <v>39</v>
      </c>
      <c r="U111" s="4">
        <v>10678.18</v>
      </c>
      <c r="V111" s="5">
        <v>2</v>
      </c>
      <c r="W111" s="5">
        <v>0</v>
      </c>
      <c r="Z111" s="3">
        <v>46054</v>
      </c>
      <c r="AA111" s="1" t="s">
        <v>41</v>
      </c>
      <c r="AB111" s="1" t="s">
        <v>42</v>
      </c>
      <c r="AC111" t="b">
        <f t="shared" si="4"/>
        <v>0</v>
      </c>
      <c r="AD111" t="b">
        <f t="shared" si="5"/>
        <v>0</v>
      </c>
      <c r="AE111" t="b">
        <f t="shared" si="6"/>
        <v>0</v>
      </c>
      <c r="AF111" t="b">
        <f t="shared" si="7"/>
        <v>0</v>
      </c>
    </row>
    <row r="112" spans="1:32">
      <c r="A112" t="s">
        <v>535</v>
      </c>
      <c r="B112" s="1" t="s">
        <v>536</v>
      </c>
      <c r="C112" s="2">
        <v>46155.882465277798</v>
      </c>
      <c r="D112" s="1" t="s">
        <v>30</v>
      </c>
      <c r="E112" s="1" t="s">
        <v>537</v>
      </c>
      <c r="F112" s="1" t="s">
        <v>266</v>
      </c>
      <c r="G112" s="3">
        <v>46172</v>
      </c>
      <c r="H112" s="1" t="s">
        <v>538</v>
      </c>
      <c r="I112" s="1" t="s">
        <v>34</v>
      </c>
      <c r="J112" s="1" t="s">
        <v>71</v>
      </c>
      <c r="K112" s="1" t="s">
        <v>35</v>
      </c>
      <c r="L112" t="s">
        <v>266</v>
      </c>
      <c r="N112" s="3">
        <v>46155</v>
      </c>
      <c r="O112" s="1" t="s">
        <v>30</v>
      </c>
      <c r="P112" s="4">
        <v>9000</v>
      </c>
      <c r="Q112" s="5">
        <v>9</v>
      </c>
      <c r="R112" s="1" t="s">
        <v>65</v>
      </c>
      <c r="S112" s="5">
        <v>3600</v>
      </c>
      <c r="T112" s="1" t="s">
        <v>39</v>
      </c>
      <c r="U112" s="4">
        <v>11727.9</v>
      </c>
      <c r="Y112" s="1" t="s">
        <v>72</v>
      </c>
      <c r="Z112" s="3">
        <v>46172</v>
      </c>
      <c r="AA112" s="1" t="s">
        <v>41</v>
      </c>
      <c r="AB112" s="1" t="s">
        <v>42</v>
      </c>
      <c r="AC112" t="b">
        <f t="shared" si="4"/>
        <v>1</v>
      </c>
      <c r="AD112" t="b">
        <f t="shared" si="5"/>
        <v>0</v>
      </c>
      <c r="AE112" t="b">
        <f t="shared" si="6"/>
        <v>0</v>
      </c>
      <c r="AF112" t="b">
        <f t="shared" si="7"/>
        <v>0</v>
      </c>
    </row>
    <row r="113" spans="1:32">
      <c r="A113" t="s">
        <v>539</v>
      </c>
      <c r="B113" s="1" t="s">
        <v>540</v>
      </c>
      <c r="C113" s="2">
        <v>46030.786516203698</v>
      </c>
      <c r="D113" s="1" t="s">
        <v>30</v>
      </c>
      <c r="E113" s="1" t="s">
        <v>523</v>
      </c>
      <c r="F113" s="1" t="s">
        <v>524</v>
      </c>
      <c r="G113" s="3">
        <v>46030</v>
      </c>
      <c r="H113" s="1" t="s">
        <v>541</v>
      </c>
      <c r="I113" s="1" t="s">
        <v>34</v>
      </c>
      <c r="J113" s="1" t="s">
        <v>35</v>
      </c>
      <c r="K113" s="1" t="s">
        <v>542</v>
      </c>
      <c r="L113" t="s">
        <v>524</v>
      </c>
      <c r="M113" s="1" t="s">
        <v>37</v>
      </c>
      <c r="N113" s="3">
        <v>46030</v>
      </c>
      <c r="O113" s="1" t="s">
        <v>30</v>
      </c>
      <c r="P113" s="4">
        <v>9000</v>
      </c>
      <c r="Q113" s="5">
        <v>1</v>
      </c>
      <c r="R113" s="1" t="s">
        <v>38</v>
      </c>
      <c r="S113" s="5">
        <v>481</v>
      </c>
      <c r="T113" s="1" t="s">
        <v>39</v>
      </c>
      <c r="U113" s="4">
        <v>10706.4</v>
      </c>
      <c r="Y113" s="1" t="s">
        <v>227</v>
      </c>
      <c r="Z113" s="3">
        <v>46030</v>
      </c>
      <c r="AA113" s="1" t="s">
        <v>41</v>
      </c>
      <c r="AB113" s="1" t="s">
        <v>42</v>
      </c>
      <c r="AC113" t="b">
        <f t="shared" si="4"/>
        <v>0</v>
      </c>
      <c r="AD113" t="b">
        <f t="shared" si="5"/>
        <v>0</v>
      </c>
      <c r="AE113" t="b">
        <f t="shared" si="6"/>
        <v>0</v>
      </c>
      <c r="AF113" t="b">
        <f t="shared" si="7"/>
        <v>0</v>
      </c>
    </row>
    <row r="114" spans="1:32">
      <c r="A114" t="s">
        <v>543</v>
      </c>
      <c r="B114" s="1" t="s">
        <v>544</v>
      </c>
      <c r="C114" s="2">
        <v>46168.920104166697</v>
      </c>
      <c r="D114" s="1" t="s">
        <v>30</v>
      </c>
      <c r="E114" s="1" t="s">
        <v>545</v>
      </c>
      <c r="F114" s="1" t="s">
        <v>200</v>
      </c>
      <c r="G114" s="3">
        <v>46169</v>
      </c>
      <c r="H114" s="1" t="s">
        <v>546</v>
      </c>
      <c r="I114" s="1" t="s">
        <v>34</v>
      </c>
      <c r="J114" s="1" t="s">
        <v>35</v>
      </c>
      <c r="K114" s="1" t="s">
        <v>244</v>
      </c>
      <c r="L114" t="s">
        <v>200</v>
      </c>
      <c r="M114" s="1" t="s">
        <v>45</v>
      </c>
      <c r="N114" s="3">
        <v>46168</v>
      </c>
      <c r="O114" s="1" t="s">
        <v>30</v>
      </c>
      <c r="P114" s="4">
        <v>9050</v>
      </c>
      <c r="Q114" s="5">
        <v>1</v>
      </c>
      <c r="R114" s="1" t="s">
        <v>38</v>
      </c>
      <c r="S114" s="5">
        <v>1066</v>
      </c>
      <c r="T114" s="1" t="s">
        <v>39</v>
      </c>
      <c r="U114" s="4">
        <v>11626.53</v>
      </c>
      <c r="Y114" s="1" t="s">
        <v>40</v>
      </c>
      <c r="Z114" s="3">
        <v>46169</v>
      </c>
      <c r="AA114" s="1" t="s">
        <v>41</v>
      </c>
      <c r="AB114" s="1" t="s">
        <v>42</v>
      </c>
      <c r="AC114" t="b">
        <f t="shared" si="4"/>
        <v>0</v>
      </c>
      <c r="AD114" t="b">
        <f t="shared" si="5"/>
        <v>0</v>
      </c>
      <c r="AE114" t="b">
        <f t="shared" si="6"/>
        <v>0</v>
      </c>
      <c r="AF114" t="b">
        <f t="shared" si="7"/>
        <v>0</v>
      </c>
    </row>
    <row r="115" spans="1:32">
      <c r="A115" t="s">
        <v>547</v>
      </c>
      <c r="B115" s="1" t="s">
        <v>548</v>
      </c>
      <c r="C115" s="2">
        <v>46139.825081018498</v>
      </c>
      <c r="D115" s="1" t="s">
        <v>30</v>
      </c>
      <c r="E115" s="1" t="s">
        <v>549</v>
      </c>
      <c r="F115" s="1" t="s">
        <v>284</v>
      </c>
      <c r="G115" s="3">
        <v>46134</v>
      </c>
      <c r="H115" s="1" t="s">
        <v>550</v>
      </c>
      <c r="I115" s="1" t="s">
        <v>63</v>
      </c>
      <c r="J115" s="1" t="s">
        <v>35</v>
      </c>
      <c r="K115" s="1" t="s">
        <v>262</v>
      </c>
      <c r="L115" t="s">
        <v>284</v>
      </c>
      <c r="N115" s="3">
        <v>46139</v>
      </c>
      <c r="O115" s="1" t="s">
        <v>30</v>
      </c>
      <c r="P115" s="4">
        <v>9200</v>
      </c>
      <c r="Q115" s="5">
        <v>3</v>
      </c>
      <c r="R115" s="1" t="s">
        <v>65</v>
      </c>
      <c r="T115" s="1" t="s">
        <v>39</v>
      </c>
      <c r="U115" s="4">
        <v>11762.2</v>
      </c>
      <c r="V115" s="5">
        <v>6</v>
      </c>
      <c r="W115" s="5">
        <v>0</v>
      </c>
      <c r="Y115" s="1" t="s">
        <v>286</v>
      </c>
      <c r="Z115" s="3">
        <v>46134</v>
      </c>
      <c r="AA115" s="1" t="s">
        <v>41</v>
      </c>
      <c r="AB115" s="1" t="s">
        <v>42</v>
      </c>
      <c r="AC115" t="b">
        <f t="shared" si="4"/>
        <v>0</v>
      </c>
      <c r="AD115" t="b">
        <f t="shared" si="5"/>
        <v>0</v>
      </c>
      <c r="AE115" t="b">
        <f t="shared" si="6"/>
        <v>0</v>
      </c>
      <c r="AF115" t="b">
        <f t="shared" si="7"/>
        <v>0</v>
      </c>
    </row>
    <row r="116" spans="1:32">
      <c r="A116" t="s">
        <v>551</v>
      </c>
      <c r="B116" s="1" t="s">
        <v>552</v>
      </c>
      <c r="C116" s="2">
        <v>46076.504780092597</v>
      </c>
      <c r="D116" s="1" t="s">
        <v>30</v>
      </c>
      <c r="E116" s="1" t="s">
        <v>553</v>
      </c>
      <c r="F116" s="1" t="s">
        <v>524</v>
      </c>
      <c r="G116" s="3">
        <v>46076</v>
      </c>
      <c r="H116" s="1" t="s">
        <v>554</v>
      </c>
      <c r="I116" s="1" t="s">
        <v>63</v>
      </c>
      <c r="J116" s="1" t="s">
        <v>144</v>
      </c>
      <c r="K116" s="1" t="s">
        <v>35</v>
      </c>
      <c r="L116" t="s">
        <v>524</v>
      </c>
      <c r="M116" s="1" t="s">
        <v>37</v>
      </c>
      <c r="N116" s="3">
        <v>46076</v>
      </c>
      <c r="O116" s="1" t="s">
        <v>30</v>
      </c>
      <c r="P116" s="4">
        <v>9350</v>
      </c>
      <c r="Q116" s="5">
        <v>1</v>
      </c>
      <c r="R116" s="1" t="s">
        <v>38</v>
      </c>
      <c r="T116" s="1" t="s">
        <v>39</v>
      </c>
      <c r="U116" s="4">
        <v>11378.02</v>
      </c>
      <c r="V116" s="5">
        <v>1</v>
      </c>
      <c r="W116" s="5">
        <v>0</v>
      </c>
      <c r="Y116" s="1" t="s">
        <v>227</v>
      </c>
      <c r="Z116" s="3">
        <v>46076</v>
      </c>
      <c r="AA116" s="1" t="s">
        <v>41</v>
      </c>
      <c r="AB116" s="1" t="s">
        <v>42</v>
      </c>
      <c r="AC116" t="b">
        <f t="shared" si="4"/>
        <v>0</v>
      </c>
      <c r="AD116" t="b">
        <f t="shared" si="5"/>
        <v>0</v>
      </c>
      <c r="AE116" t="b">
        <f t="shared" si="6"/>
        <v>0</v>
      </c>
      <c r="AF116" t="b">
        <f t="shared" si="7"/>
        <v>0</v>
      </c>
    </row>
    <row r="117" spans="1:32">
      <c r="A117" t="s">
        <v>555</v>
      </c>
      <c r="B117" s="1" t="s">
        <v>556</v>
      </c>
      <c r="C117" s="2">
        <v>46034.563182870399</v>
      </c>
      <c r="D117" s="1" t="s">
        <v>30</v>
      </c>
      <c r="E117" s="1" t="s">
        <v>557</v>
      </c>
      <c r="F117" s="1" t="s">
        <v>460</v>
      </c>
      <c r="G117" s="3">
        <v>46034</v>
      </c>
      <c r="H117" s="1" t="s">
        <v>558</v>
      </c>
      <c r="I117" s="1" t="s">
        <v>34</v>
      </c>
      <c r="J117" s="1" t="s">
        <v>35</v>
      </c>
      <c r="K117" s="1" t="s">
        <v>144</v>
      </c>
      <c r="L117" t="s">
        <v>460</v>
      </c>
      <c r="M117" s="1" t="s">
        <v>45</v>
      </c>
      <c r="N117" s="3">
        <v>46034</v>
      </c>
      <c r="O117" s="1" t="s">
        <v>30</v>
      </c>
      <c r="P117" s="4">
        <v>9351</v>
      </c>
      <c r="Q117" s="5">
        <v>1</v>
      </c>
      <c r="R117" s="1" t="s">
        <v>38</v>
      </c>
      <c r="S117" s="5">
        <v>65</v>
      </c>
      <c r="T117" s="1" t="s">
        <v>39</v>
      </c>
      <c r="U117" s="4">
        <v>11142.65</v>
      </c>
      <c r="Y117" s="1" t="s">
        <v>227</v>
      </c>
      <c r="Z117" s="3">
        <v>46034</v>
      </c>
      <c r="AA117" s="1" t="s">
        <v>41</v>
      </c>
      <c r="AB117" s="1" t="s">
        <v>42</v>
      </c>
      <c r="AC117" t="b">
        <f t="shared" si="4"/>
        <v>0</v>
      </c>
      <c r="AD117" t="b">
        <f t="shared" si="5"/>
        <v>0</v>
      </c>
      <c r="AE117" t="b">
        <f t="shared" si="6"/>
        <v>0</v>
      </c>
      <c r="AF117" t="b">
        <f t="shared" si="7"/>
        <v>0</v>
      </c>
    </row>
    <row r="118" spans="1:32">
      <c r="A118" t="s">
        <v>559</v>
      </c>
      <c r="B118" s="1" t="s">
        <v>560</v>
      </c>
      <c r="C118" s="2">
        <v>46127.619131944397</v>
      </c>
      <c r="D118" s="1" t="s">
        <v>30</v>
      </c>
      <c r="E118" s="1" t="s">
        <v>561</v>
      </c>
      <c r="F118" s="1" t="s">
        <v>101</v>
      </c>
      <c r="G118" s="3">
        <v>46127</v>
      </c>
      <c r="H118" s="1" t="s">
        <v>562</v>
      </c>
      <c r="I118" s="1" t="s">
        <v>34</v>
      </c>
      <c r="J118" s="1" t="s">
        <v>563</v>
      </c>
      <c r="K118" s="1" t="s">
        <v>35</v>
      </c>
      <c r="L118" t="s">
        <v>101</v>
      </c>
      <c r="N118" s="3">
        <v>46127</v>
      </c>
      <c r="O118" s="1" t="s">
        <v>30</v>
      </c>
      <c r="P118" s="4">
        <v>9500</v>
      </c>
      <c r="Q118" s="5">
        <v>5</v>
      </c>
      <c r="R118" s="1" t="s">
        <v>38</v>
      </c>
      <c r="S118" s="5">
        <v>1800</v>
      </c>
      <c r="T118" s="1" t="s">
        <v>39</v>
      </c>
      <c r="U118" s="4">
        <v>12085.9</v>
      </c>
      <c r="Y118" s="1" t="s">
        <v>72</v>
      </c>
      <c r="Z118" s="3">
        <v>46127</v>
      </c>
      <c r="AA118" s="1" t="s">
        <v>41</v>
      </c>
      <c r="AB118" s="1" t="s">
        <v>42</v>
      </c>
      <c r="AC118" t="b">
        <f t="shared" si="4"/>
        <v>0</v>
      </c>
      <c r="AD118" t="b">
        <f t="shared" si="5"/>
        <v>0</v>
      </c>
      <c r="AE118" t="b">
        <f t="shared" si="6"/>
        <v>0</v>
      </c>
      <c r="AF118" t="b">
        <f t="shared" si="7"/>
        <v>0</v>
      </c>
    </row>
    <row r="119" spans="1:32">
      <c r="A119" t="s">
        <v>564</v>
      </c>
      <c r="B119" s="1" t="s">
        <v>565</v>
      </c>
      <c r="C119" s="2">
        <v>46170.556006944404</v>
      </c>
      <c r="D119" s="1" t="s">
        <v>30</v>
      </c>
      <c r="E119" s="1" t="s">
        <v>260</v>
      </c>
      <c r="F119" s="1" t="s">
        <v>49</v>
      </c>
      <c r="G119" s="3">
        <v>46170</v>
      </c>
      <c r="H119" s="1" t="s">
        <v>566</v>
      </c>
      <c r="I119" s="1" t="s">
        <v>34</v>
      </c>
      <c r="J119" s="1" t="s">
        <v>35</v>
      </c>
      <c r="K119" s="1" t="s">
        <v>567</v>
      </c>
      <c r="L119" t="s">
        <v>49</v>
      </c>
      <c r="N119" s="3">
        <v>46170</v>
      </c>
      <c r="O119" s="1" t="s">
        <v>30</v>
      </c>
      <c r="P119" s="4">
        <v>9600</v>
      </c>
      <c r="Q119" s="5">
        <v>1</v>
      </c>
      <c r="R119" s="1" t="s">
        <v>65</v>
      </c>
      <c r="S119" s="5">
        <v>340</v>
      </c>
      <c r="T119" s="1" t="s">
        <v>39</v>
      </c>
      <c r="U119" s="4">
        <v>12247.68</v>
      </c>
      <c r="Y119" s="1" t="s">
        <v>51</v>
      </c>
      <c r="Z119" s="3">
        <v>46170</v>
      </c>
      <c r="AA119" s="1" t="s">
        <v>41</v>
      </c>
      <c r="AB119" s="1" t="s">
        <v>42</v>
      </c>
      <c r="AC119" t="b">
        <f t="shared" si="4"/>
        <v>0</v>
      </c>
      <c r="AD119" t="b">
        <f t="shared" si="5"/>
        <v>0</v>
      </c>
      <c r="AE119" t="b">
        <f t="shared" si="6"/>
        <v>0</v>
      </c>
      <c r="AF119" t="b">
        <f t="shared" si="7"/>
        <v>0</v>
      </c>
    </row>
    <row r="120" spans="1:32">
      <c r="A120" t="s">
        <v>568</v>
      </c>
      <c r="B120" s="1" t="s">
        <v>569</v>
      </c>
      <c r="C120" s="2">
        <v>46129.597754629598</v>
      </c>
      <c r="D120" s="1" t="s">
        <v>30</v>
      </c>
      <c r="E120" s="1" t="s">
        <v>61</v>
      </c>
      <c r="F120" s="1" t="s">
        <v>49</v>
      </c>
      <c r="G120" s="3">
        <v>46129</v>
      </c>
      <c r="H120" s="1" t="s">
        <v>123</v>
      </c>
      <c r="I120" s="1" t="s">
        <v>63</v>
      </c>
      <c r="J120" s="1" t="s">
        <v>35</v>
      </c>
      <c r="K120" s="1" t="s">
        <v>570</v>
      </c>
      <c r="L120" t="s">
        <v>49</v>
      </c>
      <c r="N120" s="3">
        <v>46129</v>
      </c>
      <c r="O120" s="1" t="s">
        <v>30</v>
      </c>
      <c r="P120" s="4">
        <v>9690</v>
      </c>
      <c r="Q120" s="5">
        <v>3</v>
      </c>
      <c r="R120" s="1" t="s">
        <v>38</v>
      </c>
      <c r="T120" s="1" t="s">
        <v>39</v>
      </c>
      <c r="U120" s="4">
        <v>12307.27</v>
      </c>
      <c r="V120" s="5">
        <v>6</v>
      </c>
      <c r="W120" s="5">
        <v>0</v>
      </c>
      <c r="Y120" s="1" t="s">
        <v>51</v>
      </c>
      <c r="Z120" s="3">
        <v>46129</v>
      </c>
      <c r="AA120" s="1" t="s">
        <v>41</v>
      </c>
      <c r="AB120" s="1" t="s">
        <v>42</v>
      </c>
      <c r="AC120" t="b">
        <f t="shared" si="4"/>
        <v>1</v>
      </c>
      <c r="AD120" t="b">
        <f t="shared" si="5"/>
        <v>0</v>
      </c>
      <c r="AE120" t="b">
        <f t="shared" si="6"/>
        <v>0</v>
      </c>
      <c r="AF120" t="b">
        <f t="shared" si="7"/>
        <v>0</v>
      </c>
    </row>
    <row r="121" spans="1:32">
      <c r="A121" t="s">
        <v>571</v>
      </c>
      <c r="B121" s="1" t="s">
        <v>572</v>
      </c>
      <c r="C121" s="2">
        <v>46155.318009259303</v>
      </c>
      <c r="D121" s="1" t="s">
        <v>30</v>
      </c>
      <c r="E121" s="1" t="s">
        <v>332</v>
      </c>
      <c r="F121" s="1" t="s">
        <v>200</v>
      </c>
      <c r="G121" s="3">
        <v>46155</v>
      </c>
      <c r="H121" s="1" t="s">
        <v>333</v>
      </c>
      <c r="I121" s="1" t="s">
        <v>34</v>
      </c>
      <c r="J121" s="1" t="s">
        <v>35</v>
      </c>
      <c r="K121" s="1" t="s">
        <v>563</v>
      </c>
      <c r="L121" t="s">
        <v>200</v>
      </c>
      <c r="M121" s="1" t="s">
        <v>45</v>
      </c>
      <c r="N121" s="3">
        <v>46155</v>
      </c>
      <c r="O121" s="1" t="s">
        <v>30</v>
      </c>
      <c r="P121" s="4">
        <v>9910</v>
      </c>
      <c r="Q121" s="5">
        <v>1</v>
      </c>
      <c r="R121" s="1" t="s">
        <v>38</v>
      </c>
      <c r="S121" s="5">
        <v>728</v>
      </c>
      <c r="T121" s="1" t="s">
        <v>39</v>
      </c>
      <c r="U121" s="4">
        <v>12865.16</v>
      </c>
      <c r="Y121" s="1" t="s">
        <v>40</v>
      </c>
      <c r="Z121" s="3">
        <v>46155</v>
      </c>
      <c r="AA121" s="1" t="s">
        <v>41</v>
      </c>
      <c r="AB121" s="1" t="s">
        <v>42</v>
      </c>
      <c r="AC121" t="b">
        <f t="shared" si="4"/>
        <v>0</v>
      </c>
      <c r="AD121" t="b">
        <f t="shared" si="5"/>
        <v>0</v>
      </c>
      <c r="AE121" t="b">
        <f t="shared" si="6"/>
        <v>0</v>
      </c>
      <c r="AF121" t="b">
        <f t="shared" si="7"/>
        <v>0</v>
      </c>
    </row>
    <row r="122" spans="1:32">
      <c r="A122" t="s">
        <v>573</v>
      </c>
      <c r="B122" s="1" t="s">
        <v>574</v>
      </c>
      <c r="C122" s="2">
        <v>46120.811979166698</v>
      </c>
      <c r="D122" s="1" t="s">
        <v>30</v>
      </c>
      <c r="E122" s="1" t="s">
        <v>299</v>
      </c>
      <c r="F122" s="1" t="s">
        <v>300</v>
      </c>
      <c r="G122" s="3">
        <v>46142</v>
      </c>
      <c r="H122" s="1" t="s">
        <v>301</v>
      </c>
      <c r="I122" s="1" t="s">
        <v>34</v>
      </c>
      <c r="J122" s="1" t="s">
        <v>35</v>
      </c>
      <c r="K122" s="1" t="s">
        <v>324</v>
      </c>
      <c r="L122" t="s">
        <v>300</v>
      </c>
      <c r="M122" s="1" t="s">
        <v>45</v>
      </c>
      <c r="N122" s="3">
        <v>46120</v>
      </c>
      <c r="O122" s="1" t="s">
        <v>30</v>
      </c>
      <c r="P122" s="4">
        <v>9985</v>
      </c>
      <c r="Q122" s="5">
        <v>1</v>
      </c>
      <c r="R122" s="1" t="s">
        <v>38</v>
      </c>
      <c r="S122" s="5">
        <v>600</v>
      </c>
      <c r="T122" s="1" t="s">
        <v>39</v>
      </c>
      <c r="U122" s="4">
        <v>12517.2</v>
      </c>
      <c r="Y122" s="1" t="s">
        <v>58</v>
      </c>
      <c r="Z122" s="3">
        <v>46142</v>
      </c>
      <c r="AA122" s="1" t="s">
        <v>41</v>
      </c>
      <c r="AB122" s="1" t="s">
        <v>208</v>
      </c>
      <c r="AC122" t="b">
        <f t="shared" si="4"/>
        <v>1</v>
      </c>
      <c r="AD122" t="b">
        <f t="shared" si="5"/>
        <v>0</v>
      </c>
      <c r="AE122" t="b">
        <f t="shared" si="6"/>
        <v>0</v>
      </c>
      <c r="AF122" t="b">
        <f t="shared" si="7"/>
        <v>0</v>
      </c>
    </row>
    <row r="123" spans="1:32">
      <c r="A123" t="s">
        <v>575</v>
      </c>
      <c r="B123" s="1" t="s">
        <v>576</v>
      </c>
      <c r="C123" s="2">
        <v>46066.453726851898</v>
      </c>
      <c r="D123" s="1" t="s">
        <v>30</v>
      </c>
      <c r="E123" s="1" t="s">
        <v>577</v>
      </c>
      <c r="F123" s="1" t="s">
        <v>348</v>
      </c>
      <c r="G123" s="3">
        <v>46066</v>
      </c>
      <c r="H123" s="1" t="s">
        <v>578</v>
      </c>
      <c r="I123" s="1" t="s">
        <v>63</v>
      </c>
      <c r="J123" s="1" t="s">
        <v>35</v>
      </c>
      <c r="K123" s="1" t="s">
        <v>57</v>
      </c>
      <c r="L123" t="s">
        <v>348</v>
      </c>
      <c r="M123" s="1" t="s">
        <v>45</v>
      </c>
      <c r="N123" s="3">
        <v>46066</v>
      </c>
      <c r="O123" s="1" t="s">
        <v>30</v>
      </c>
      <c r="P123" s="4">
        <v>10000</v>
      </c>
      <c r="Q123" s="5">
        <v>1</v>
      </c>
      <c r="R123" s="1" t="s">
        <v>38</v>
      </c>
      <c r="T123" s="1" t="s">
        <v>39</v>
      </c>
      <c r="U123" s="4">
        <v>12157</v>
      </c>
      <c r="V123" s="5">
        <v>0</v>
      </c>
      <c r="W123" s="5">
        <v>3</v>
      </c>
      <c r="Y123" s="1" t="s">
        <v>227</v>
      </c>
      <c r="Z123" s="3">
        <v>46066</v>
      </c>
      <c r="AA123" s="1" t="s">
        <v>41</v>
      </c>
      <c r="AB123" s="1" t="s">
        <v>42</v>
      </c>
      <c r="AC123" t="b">
        <f t="shared" si="4"/>
        <v>0</v>
      </c>
      <c r="AD123" t="b">
        <f t="shared" si="5"/>
        <v>0</v>
      </c>
      <c r="AE123" t="b">
        <f t="shared" si="6"/>
        <v>0</v>
      </c>
      <c r="AF123" t="b">
        <f t="shared" si="7"/>
        <v>0</v>
      </c>
    </row>
    <row r="124" spans="1:32">
      <c r="A124" t="s">
        <v>579</v>
      </c>
      <c r="B124" s="1" t="s">
        <v>580</v>
      </c>
      <c r="C124" s="2">
        <v>46175.877546296302</v>
      </c>
      <c r="D124" s="1" t="s">
        <v>30</v>
      </c>
      <c r="E124" s="1" t="s">
        <v>581</v>
      </c>
      <c r="F124" s="1" t="s">
        <v>242</v>
      </c>
      <c r="G124" s="3">
        <v>46203</v>
      </c>
      <c r="H124" s="1" t="s">
        <v>582</v>
      </c>
      <c r="I124" s="1" t="s">
        <v>63</v>
      </c>
      <c r="J124" s="1" t="s">
        <v>35</v>
      </c>
      <c r="K124" s="1" t="s">
        <v>583</v>
      </c>
      <c r="L124" t="s">
        <v>242</v>
      </c>
      <c r="M124" s="1" t="s">
        <v>37</v>
      </c>
      <c r="N124" s="3">
        <v>46175</v>
      </c>
      <c r="O124" s="1" t="s">
        <v>30</v>
      </c>
      <c r="P124" s="4">
        <v>10000</v>
      </c>
      <c r="Q124" s="5">
        <v>1</v>
      </c>
      <c r="R124" s="1" t="s">
        <v>38</v>
      </c>
      <c r="T124" s="1" t="s">
        <v>39</v>
      </c>
      <c r="U124" s="4">
        <v>12796</v>
      </c>
      <c r="V124" s="5">
        <v>0</v>
      </c>
      <c r="W124" s="5">
        <v>2</v>
      </c>
      <c r="Y124" s="1" t="s">
        <v>115</v>
      </c>
      <c r="Z124" s="3">
        <v>46203</v>
      </c>
      <c r="AA124" s="1" t="s">
        <v>41</v>
      </c>
      <c r="AB124" s="1" t="s">
        <v>42</v>
      </c>
      <c r="AC124" t="b">
        <f t="shared" si="4"/>
        <v>0</v>
      </c>
      <c r="AD124" t="b">
        <f t="shared" si="5"/>
        <v>0</v>
      </c>
      <c r="AE124" t="b">
        <f t="shared" si="6"/>
        <v>0</v>
      </c>
      <c r="AF124" t="b">
        <f t="shared" si="7"/>
        <v>0</v>
      </c>
    </row>
    <row r="125" spans="1:32">
      <c r="A125" t="s">
        <v>584</v>
      </c>
      <c r="B125" s="1" t="s">
        <v>585</v>
      </c>
      <c r="C125" s="2">
        <v>46134.555486111101</v>
      </c>
      <c r="D125" s="1" t="s">
        <v>30</v>
      </c>
      <c r="E125" s="1" t="s">
        <v>586</v>
      </c>
      <c r="F125" s="1" t="s">
        <v>587</v>
      </c>
      <c r="G125" s="3">
        <v>46134</v>
      </c>
      <c r="H125" s="1" t="s">
        <v>588</v>
      </c>
      <c r="I125" s="1" t="s">
        <v>63</v>
      </c>
      <c r="J125" s="1" t="s">
        <v>563</v>
      </c>
      <c r="K125" s="1" t="s">
        <v>35</v>
      </c>
      <c r="L125" t="s">
        <v>587</v>
      </c>
      <c r="M125" s="1" t="s">
        <v>45</v>
      </c>
      <c r="N125" s="3">
        <v>46134</v>
      </c>
      <c r="O125" s="1" t="s">
        <v>30</v>
      </c>
      <c r="P125" s="4">
        <v>10000</v>
      </c>
      <c r="Q125" s="5">
        <v>12</v>
      </c>
      <c r="R125" s="1" t="s">
        <v>38</v>
      </c>
      <c r="T125" s="1" t="s">
        <v>39</v>
      </c>
      <c r="U125" s="4">
        <v>12790</v>
      </c>
      <c r="V125" s="5">
        <v>0</v>
      </c>
      <c r="W125" s="5">
        <v>12</v>
      </c>
      <c r="Y125" s="1" t="s">
        <v>58</v>
      </c>
      <c r="Z125" s="3">
        <v>46134</v>
      </c>
      <c r="AA125" s="1" t="s">
        <v>41</v>
      </c>
      <c r="AB125" s="1" t="s">
        <v>42</v>
      </c>
      <c r="AC125" t="b">
        <f t="shared" si="4"/>
        <v>1</v>
      </c>
      <c r="AD125" t="b">
        <f t="shared" si="5"/>
        <v>0</v>
      </c>
      <c r="AE125" t="b">
        <f t="shared" si="6"/>
        <v>0</v>
      </c>
      <c r="AF125" t="b">
        <f t="shared" si="7"/>
        <v>0</v>
      </c>
    </row>
    <row r="126" spans="1:32">
      <c r="A126" t="s">
        <v>589</v>
      </c>
      <c r="B126" s="1" t="s">
        <v>590</v>
      </c>
      <c r="C126" s="2">
        <v>46134.555520833303</v>
      </c>
      <c r="D126" s="1" t="s">
        <v>30</v>
      </c>
      <c r="E126" s="1" t="s">
        <v>586</v>
      </c>
      <c r="F126" s="1" t="s">
        <v>587</v>
      </c>
      <c r="G126" s="3">
        <v>46134</v>
      </c>
      <c r="H126" s="1" t="s">
        <v>588</v>
      </c>
      <c r="I126" s="1" t="s">
        <v>63</v>
      </c>
      <c r="J126" s="1" t="s">
        <v>71</v>
      </c>
      <c r="K126" s="1" t="s">
        <v>35</v>
      </c>
      <c r="L126" t="s">
        <v>587</v>
      </c>
      <c r="M126" s="1" t="s">
        <v>45</v>
      </c>
      <c r="N126" s="3">
        <v>46134</v>
      </c>
      <c r="O126" s="1" t="s">
        <v>30</v>
      </c>
      <c r="P126" s="4">
        <v>10000</v>
      </c>
      <c r="Q126" s="5">
        <v>12</v>
      </c>
      <c r="R126" s="1" t="s">
        <v>38</v>
      </c>
      <c r="T126" s="1" t="s">
        <v>39</v>
      </c>
      <c r="U126" s="4">
        <v>12790</v>
      </c>
      <c r="V126" s="5">
        <v>0</v>
      </c>
      <c r="W126" s="5">
        <v>12</v>
      </c>
      <c r="Y126" s="1" t="s">
        <v>58</v>
      </c>
      <c r="Z126" s="3">
        <v>46134</v>
      </c>
      <c r="AA126" s="1" t="s">
        <v>41</v>
      </c>
      <c r="AB126" s="1" t="s">
        <v>42</v>
      </c>
      <c r="AC126" t="b">
        <f t="shared" si="4"/>
        <v>1</v>
      </c>
      <c r="AD126" t="b">
        <f t="shared" si="5"/>
        <v>0</v>
      </c>
      <c r="AE126" t="b">
        <f t="shared" si="6"/>
        <v>0</v>
      </c>
      <c r="AF126" t="b">
        <f t="shared" si="7"/>
        <v>0</v>
      </c>
    </row>
    <row r="127" spans="1:32">
      <c r="A127" t="s">
        <v>591</v>
      </c>
      <c r="B127" s="1" t="s">
        <v>592</v>
      </c>
      <c r="C127" s="2">
        <v>46084.754641203697</v>
      </c>
      <c r="D127" s="1" t="s">
        <v>30</v>
      </c>
      <c r="E127" s="1" t="s">
        <v>593</v>
      </c>
      <c r="F127" s="1" t="s">
        <v>387</v>
      </c>
      <c r="G127" s="3">
        <v>46083</v>
      </c>
      <c r="H127" s="1" t="s">
        <v>594</v>
      </c>
      <c r="I127" s="1" t="s">
        <v>63</v>
      </c>
      <c r="J127" s="1" t="s">
        <v>35</v>
      </c>
      <c r="K127" s="1" t="s">
        <v>563</v>
      </c>
      <c r="L127" t="s">
        <v>387</v>
      </c>
      <c r="M127" s="1" t="s">
        <v>45</v>
      </c>
      <c r="N127" s="3">
        <v>46084</v>
      </c>
      <c r="O127" s="1" t="s">
        <v>30</v>
      </c>
      <c r="P127" s="4">
        <v>10000</v>
      </c>
      <c r="Q127" s="5">
        <v>10</v>
      </c>
      <c r="R127" s="1" t="s">
        <v>38</v>
      </c>
      <c r="T127" s="1" t="s">
        <v>39</v>
      </c>
      <c r="U127" s="4">
        <v>12269</v>
      </c>
      <c r="V127" s="5">
        <v>10</v>
      </c>
      <c r="W127" s="5">
        <v>100</v>
      </c>
      <c r="Y127" s="1" t="s">
        <v>58</v>
      </c>
      <c r="Z127" s="3">
        <v>46083</v>
      </c>
      <c r="AA127" s="1" t="s">
        <v>41</v>
      </c>
      <c r="AB127" s="1" t="s">
        <v>42</v>
      </c>
      <c r="AC127" t="b">
        <f t="shared" si="4"/>
        <v>0</v>
      </c>
      <c r="AD127" t="b">
        <f t="shared" si="5"/>
        <v>0</v>
      </c>
      <c r="AE127" t="b">
        <f t="shared" si="6"/>
        <v>0</v>
      </c>
      <c r="AF127" t="b">
        <f t="shared" si="7"/>
        <v>0</v>
      </c>
    </row>
    <row r="128" spans="1:32">
      <c r="A128" t="s">
        <v>595</v>
      </c>
      <c r="B128" s="1" t="s">
        <v>596</v>
      </c>
      <c r="C128" s="2">
        <v>46178.892893518503</v>
      </c>
      <c r="D128" s="1" t="s">
        <v>30</v>
      </c>
      <c r="E128" s="1" t="s">
        <v>597</v>
      </c>
      <c r="F128" s="1" t="s">
        <v>32</v>
      </c>
      <c r="G128" s="3">
        <v>46178</v>
      </c>
      <c r="H128" s="1" t="s">
        <v>598</v>
      </c>
      <c r="I128" s="1" t="s">
        <v>382</v>
      </c>
      <c r="J128" s="1" t="s">
        <v>383</v>
      </c>
      <c r="K128" s="1" t="s">
        <v>35</v>
      </c>
      <c r="L128" t="s">
        <v>32</v>
      </c>
      <c r="M128" s="1" t="s">
        <v>45</v>
      </c>
      <c r="N128" s="3">
        <v>46178</v>
      </c>
      <c r="O128" s="1" t="s">
        <v>30</v>
      </c>
      <c r="P128" s="4">
        <v>10000</v>
      </c>
      <c r="Q128" s="5">
        <v>5</v>
      </c>
      <c r="R128" s="1" t="s">
        <v>38</v>
      </c>
      <c r="T128" s="1" t="s">
        <v>39</v>
      </c>
      <c r="U128" s="4">
        <v>12673</v>
      </c>
      <c r="Y128" s="1" t="s">
        <v>40</v>
      </c>
      <c r="Z128" s="3">
        <v>46178</v>
      </c>
      <c r="AA128" s="1" t="s">
        <v>41</v>
      </c>
      <c r="AB128" s="1" t="s">
        <v>42</v>
      </c>
      <c r="AC128" t="b">
        <f t="shared" si="4"/>
        <v>0</v>
      </c>
      <c r="AD128" t="b">
        <f t="shared" si="5"/>
        <v>0</v>
      </c>
      <c r="AE128" t="b">
        <f t="shared" si="6"/>
        <v>0</v>
      </c>
      <c r="AF128" t="b">
        <f t="shared" si="7"/>
        <v>0</v>
      </c>
    </row>
    <row r="129" spans="1:32">
      <c r="A129" t="s">
        <v>599</v>
      </c>
      <c r="B129" s="1" t="s">
        <v>600</v>
      </c>
      <c r="C129" s="2">
        <v>46043.691550925898</v>
      </c>
      <c r="D129" s="1" t="s">
        <v>30</v>
      </c>
      <c r="E129" s="1" t="s">
        <v>601</v>
      </c>
      <c r="F129" s="1" t="s">
        <v>206</v>
      </c>
      <c r="G129" s="3">
        <v>46043</v>
      </c>
      <c r="H129" s="1" t="s">
        <v>602</v>
      </c>
      <c r="I129" s="1" t="s">
        <v>603</v>
      </c>
      <c r="J129" s="1" t="s">
        <v>35</v>
      </c>
      <c r="K129" s="1" t="s">
        <v>35</v>
      </c>
      <c r="L129" t="s">
        <v>206</v>
      </c>
      <c r="N129" s="3">
        <v>46043</v>
      </c>
      <c r="O129" s="1" t="s">
        <v>30</v>
      </c>
      <c r="P129" s="4">
        <v>10000</v>
      </c>
      <c r="Q129" s="5">
        <v>12</v>
      </c>
      <c r="R129" s="1" t="s">
        <v>38</v>
      </c>
      <c r="T129" s="1" t="s">
        <v>39</v>
      </c>
      <c r="U129" s="4">
        <v>11835</v>
      </c>
      <c r="Y129" s="1" t="s">
        <v>58</v>
      </c>
      <c r="Z129" s="3">
        <v>46043</v>
      </c>
      <c r="AA129" s="1" t="s">
        <v>41</v>
      </c>
      <c r="AB129" s="1" t="s">
        <v>42</v>
      </c>
      <c r="AC129" t="b">
        <f t="shared" si="4"/>
        <v>0</v>
      </c>
      <c r="AD129" t="b">
        <f t="shared" si="5"/>
        <v>0</v>
      </c>
      <c r="AE129" t="b">
        <f t="shared" si="6"/>
        <v>0</v>
      </c>
      <c r="AF129" t="b">
        <f t="shared" si="7"/>
        <v>0</v>
      </c>
    </row>
    <row r="130" spans="1:32">
      <c r="A130" t="s">
        <v>604</v>
      </c>
      <c r="B130" s="1" t="s">
        <v>605</v>
      </c>
      <c r="C130" s="2">
        <v>46176.930659722202</v>
      </c>
      <c r="D130" s="1" t="s">
        <v>30</v>
      </c>
      <c r="E130" s="1" t="s">
        <v>230</v>
      </c>
      <c r="F130" s="1" t="s">
        <v>69</v>
      </c>
      <c r="G130" s="3">
        <v>46176</v>
      </c>
      <c r="H130" s="1" t="s">
        <v>606</v>
      </c>
      <c r="I130" s="1" t="s">
        <v>34</v>
      </c>
      <c r="J130" s="1" t="s">
        <v>108</v>
      </c>
      <c r="K130" s="1" t="s">
        <v>35</v>
      </c>
      <c r="L130" t="s">
        <v>69</v>
      </c>
      <c r="N130" s="3">
        <v>46176</v>
      </c>
      <c r="O130" s="1" t="s">
        <v>30</v>
      </c>
      <c r="P130" s="4">
        <v>10000</v>
      </c>
      <c r="Q130" s="5">
        <v>2</v>
      </c>
      <c r="R130" s="1" t="s">
        <v>38</v>
      </c>
      <c r="S130" s="5">
        <v>3780</v>
      </c>
      <c r="T130" s="1" t="s">
        <v>39</v>
      </c>
      <c r="U130" s="4">
        <v>12826</v>
      </c>
      <c r="Y130" s="1" t="s">
        <v>72</v>
      </c>
      <c r="Z130" s="3">
        <v>46176</v>
      </c>
      <c r="AA130" s="1" t="s">
        <v>41</v>
      </c>
      <c r="AB130" s="1" t="s">
        <v>42</v>
      </c>
      <c r="AC130" t="b">
        <f t="shared" ref="AC130:AC193" si="8">ISNUMBER( SEARCH("HOT",H130))</f>
        <v>0</v>
      </c>
      <c r="AD130" t="b">
        <f t="shared" ref="AD130:AD193" si="9">ISNUMBER( SEARCH("COMM",H130))</f>
        <v>0</v>
      </c>
      <c r="AE130" t="b">
        <f t="shared" ref="AE130:AE193" si="10">ISNUMBER( SEARCH("REEFER",H130))</f>
        <v>0</v>
      </c>
      <c r="AF130" t="b">
        <f t="shared" ref="AF130:AF193" si="11">ISNUMBER( SEARCH("P01",H130))</f>
        <v>0</v>
      </c>
    </row>
    <row r="131" spans="1:32">
      <c r="A131" t="s">
        <v>607</v>
      </c>
      <c r="B131" s="1" t="s">
        <v>608</v>
      </c>
      <c r="C131" s="2">
        <v>46029.809780092597</v>
      </c>
      <c r="D131" s="1" t="s">
        <v>30</v>
      </c>
      <c r="E131" s="1" t="s">
        <v>68</v>
      </c>
      <c r="F131" s="1" t="s">
        <v>69</v>
      </c>
      <c r="G131" s="3">
        <v>46029</v>
      </c>
      <c r="H131" s="1" t="s">
        <v>70</v>
      </c>
      <c r="I131" s="1" t="s">
        <v>63</v>
      </c>
      <c r="J131" s="1" t="s">
        <v>563</v>
      </c>
      <c r="K131" s="1" t="s">
        <v>35</v>
      </c>
      <c r="L131" t="s">
        <v>69</v>
      </c>
      <c r="N131" s="3">
        <v>46029</v>
      </c>
      <c r="O131" s="1" t="s">
        <v>30</v>
      </c>
      <c r="P131" s="4">
        <v>10000</v>
      </c>
      <c r="Q131" s="5">
        <v>10</v>
      </c>
      <c r="R131" s="1" t="s">
        <v>38</v>
      </c>
      <c r="T131" s="1" t="s">
        <v>39</v>
      </c>
      <c r="U131" s="4">
        <v>11874</v>
      </c>
      <c r="V131" s="5">
        <v>0</v>
      </c>
      <c r="W131" s="5">
        <v>20</v>
      </c>
      <c r="Y131" s="1" t="s">
        <v>72</v>
      </c>
      <c r="Z131" s="3">
        <v>46029</v>
      </c>
      <c r="AA131" s="1" t="s">
        <v>41</v>
      </c>
      <c r="AB131" s="1" t="s">
        <v>42</v>
      </c>
      <c r="AC131" t="b">
        <f t="shared" si="8"/>
        <v>0</v>
      </c>
      <c r="AD131" t="b">
        <f t="shared" si="9"/>
        <v>0</v>
      </c>
      <c r="AE131" t="b">
        <f t="shared" si="10"/>
        <v>0</v>
      </c>
      <c r="AF131" t="b">
        <f t="shared" si="11"/>
        <v>0</v>
      </c>
    </row>
    <row r="132" spans="1:32">
      <c r="A132" t="s">
        <v>609</v>
      </c>
      <c r="B132" s="1" t="s">
        <v>610</v>
      </c>
      <c r="C132" s="2">
        <v>46179.385995370401</v>
      </c>
      <c r="D132" s="1" t="s">
        <v>30</v>
      </c>
      <c r="E132" s="1" t="s">
        <v>611</v>
      </c>
      <c r="F132" s="1" t="s">
        <v>612</v>
      </c>
      <c r="G132" s="3">
        <v>46179</v>
      </c>
      <c r="H132" s="1" t="s">
        <v>613</v>
      </c>
      <c r="I132" s="1" t="s">
        <v>63</v>
      </c>
      <c r="J132" s="1" t="s">
        <v>35</v>
      </c>
      <c r="K132" s="1" t="s">
        <v>108</v>
      </c>
      <c r="L132" t="s">
        <v>612</v>
      </c>
      <c r="M132" s="1" t="s">
        <v>37</v>
      </c>
      <c r="N132" s="3">
        <v>46179</v>
      </c>
      <c r="O132" s="1" t="s">
        <v>30</v>
      </c>
      <c r="P132" s="4">
        <v>10000</v>
      </c>
      <c r="Q132" s="5">
        <v>3</v>
      </c>
      <c r="R132" s="1" t="s">
        <v>38</v>
      </c>
      <c r="T132" s="1" t="s">
        <v>39</v>
      </c>
      <c r="U132" s="4">
        <v>12673</v>
      </c>
      <c r="V132" s="5">
        <v>0</v>
      </c>
      <c r="W132" s="5">
        <v>8</v>
      </c>
      <c r="Y132" s="1" t="s">
        <v>51</v>
      </c>
      <c r="Z132" s="3">
        <v>46179</v>
      </c>
      <c r="AA132" s="1" t="s">
        <v>41</v>
      </c>
      <c r="AB132" s="1" t="s">
        <v>42</v>
      </c>
      <c r="AC132" t="b">
        <f t="shared" si="8"/>
        <v>0</v>
      </c>
      <c r="AD132" t="b">
        <f t="shared" si="9"/>
        <v>0</v>
      </c>
      <c r="AE132" t="b">
        <f t="shared" si="10"/>
        <v>0</v>
      </c>
      <c r="AF132" t="b">
        <f t="shared" si="11"/>
        <v>0</v>
      </c>
    </row>
    <row r="133" spans="1:32">
      <c r="A133" t="s">
        <v>614</v>
      </c>
      <c r="B133" s="1" t="s">
        <v>615</v>
      </c>
      <c r="C133" s="2">
        <v>46033.957928240699</v>
      </c>
      <c r="D133" s="1" t="s">
        <v>30</v>
      </c>
      <c r="E133" s="1" t="s">
        <v>616</v>
      </c>
      <c r="F133" s="1" t="s">
        <v>617</v>
      </c>
      <c r="G133" s="3">
        <v>46033</v>
      </c>
      <c r="H133" s="1" t="s">
        <v>618</v>
      </c>
      <c r="I133" s="1" t="s">
        <v>382</v>
      </c>
      <c r="J133" s="1" t="s">
        <v>383</v>
      </c>
      <c r="K133" s="1" t="s">
        <v>35</v>
      </c>
      <c r="L133" t="s">
        <v>617</v>
      </c>
      <c r="M133" s="1" t="s">
        <v>45</v>
      </c>
      <c r="N133" s="3">
        <v>46033</v>
      </c>
      <c r="O133" s="1" t="s">
        <v>30</v>
      </c>
      <c r="P133" s="4">
        <v>10000</v>
      </c>
      <c r="Q133" s="5">
        <v>6</v>
      </c>
      <c r="R133" s="1" t="s">
        <v>38</v>
      </c>
      <c r="T133" s="1" t="s">
        <v>39</v>
      </c>
      <c r="U133" s="4">
        <v>11916</v>
      </c>
      <c r="Y133" s="1" t="s">
        <v>227</v>
      </c>
      <c r="Z133" s="3">
        <v>46033</v>
      </c>
      <c r="AA133" s="1" t="s">
        <v>41</v>
      </c>
      <c r="AB133" s="1" t="s">
        <v>42</v>
      </c>
      <c r="AC133" t="b">
        <f t="shared" si="8"/>
        <v>0</v>
      </c>
      <c r="AD133" t="b">
        <f t="shared" si="9"/>
        <v>0</v>
      </c>
      <c r="AE133" t="b">
        <f t="shared" si="10"/>
        <v>0</v>
      </c>
      <c r="AF133" t="b">
        <f t="shared" si="11"/>
        <v>0</v>
      </c>
    </row>
    <row r="134" spans="1:32">
      <c r="A134" t="s">
        <v>619</v>
      </c>
      <c r="B134" s="1" t="s">
        <v>620</v>
      </c>
      <c r="C134" s="2">
        <v>46033.964733796303</v>
      </c>
      <c r="D134" s="1" t="s">
        <v>30</v>
      </c>
      <c r="E134" s="1" t="s">
        <v>621</v>
      </c>
      <c r="F134" s="1" t="s">
        <v>617</v>
      </c>
      <c r="G134" s="3">
        <v>46033</v>
      </c>
      <c r="H134" s="1" t="s">
        <v>622</v>
      </c>
      <c r="I134" s="1" t="s">
        <v>63</v>
      </c>
      <c r="J134" s="1" t="s">
        <v>296</v>
      </c>
      <c r="K134" s="1" t="s">
        <v>35</v>
      </c>
      <c r="L134" t="s">
        <v>617</v>
      </c>
      <c r="M134" s="1" t="s">
        <v>45</v>
      </c>
      <c r="N134" s="3">
        <v>46033</v>
      </c>
      <c r="O134" s="1" t="s">
        <v>30</v>
      </c>
      <c r="P134" s="4">
        <v>10000</v>
      </c>
      <c r="Q134" s="5">
        <v>20</v>
      </c>
      <c r="R134" s="1" t="s">
        <v>38</v>
      </c>
      <c r="T134" s="1" t="s">
        <v>39</v>
      </c>
      <c r="U134" s="4">
        <v>11916</v>
      </c>
      <c r="V134" s="5">
        <v>0</v>
      </c>
      <c r="W134" s="5">
        <v>100</v>
      </c>
      <c r="Y134" s="1" t="s">
        <v>227</v>
      </c>
      <c r="Z134" s="3">
        <v>46033</v>
      </c>
      <c r="AA134" s="1" t="s">
        <v>41</v>
      </c>
      <c r="AB134" s="1" t="s">
        <v>42</v>
      </c>
      <c r="AC134" t="b">
        <f t="shared" si="8"/>
        <v>0</v>
      </c>
      <c r="AD134" t="b">
        <f t="shared" si="9"/>
        <v>0</v>
      </c>
      <c r="AE134" t="b">
        <f t="shared" si="10"/>
        <v>0</v>
      </c>
      <c r="AF134" t="b">
        <f t="shared" si="11"/>
        <v>0</v>
      </c>
    </row>
    <row r="135" spans="1:32">
      <c r="A135" t="s">
        <v>623</v>
      </c>
      <c r="B135" s="1" t="s">
        <v>624</v>
      </c>
      <c r="C135" s="2">
        <v>46041.781331018501</v>
      </c>
      <c r="D135" s="1" t="s">
        <v>30</v>
      </c>
      <c r="E135" s="1" t="s">
        <v>625</v>
      </c>
      <c r="F135" s="1" t="s">
        <v>206</v>
      </c>
      <c r="G135" s="3">
        <v>46041</v>
      </c>
      <c r="H135" s="1" t="s">
        <v>626</v>
      </c>
      <c r="I135" s="1" t="s">
        <v>63</v>
      </c>
      <c r="J135" s="1" t="s">
        <v>35</v>
      </c>
      <c r="K135" s="1" t="s">
        <v>627</v>
      </c>
      <c r="L135" t="s">
        <v>206</v>
      </c>
      <c r="N135" s="3">
        <v>46041</v>
      </c>
      <c r="O135" s="1" t="s">
        <v>30</v>
      </c>
      <c r="P135" s="4">
        <v>10000</v>
      </c>
      <c r="Q135" s="5">
        <v>2</v>
      </c>
      <c r="R135" s="1" t="s">
        <v>38</v>
      </c>
      <c r="T135" s="1" t="s">
        <v>39</v>
      </c>
      <c r="U135" s="4">
        <v>11968</v>
      </c>
      <c r="V135" s="5">
        <v>10</v>
      </c>
      <c r="W135" s="5">
        <v>30</v>
      </c>
      <c r="Y135" s="1" t="s">
        <v>58</v>
      </c>
      <c r="Z135" s="3">
        <v>46041</v>
      </c>
      <c r="AA135" s="1" t="s">
        <v>41</v>
      </c>
      <c r="AB135" s="1" t="s">
        <v>42</v>
      </c>
      <c r="AC135" t="b">
        <f t="shared" si="8"/>
        <v>0</v>
      </c>
      <c r="AD135" t="b">
        <f t="shared" si="9"/>
        <v>0</v>
      </c>
      <c r="AE135" t="b">
        <f t="shared" si="10"/>
        <v>0</v>
      </c>
      <c r="AF135" t="b">
        <f t="shared" si="11"/>
        <v>0</v>
      </c>
    </row>
    <row r="136" spans="1:32">
      <c r="A136" t="s">
        <v>628</v>
      </c>
      <c r="B136" s="1" t="s">
        <v>629</v>
      </c>
      <c r="C136" s="2">
        <v>46106.658599536997</v>
      </c>
      <c r="D136" s="1" t="s">
        <v>30</v>
      </c>
      <c r="E136" s="1" t="s">
        <v>630</v>
      </c>
      <c r="F136" s="1" t="s">
        <v>631</v>
      </c>
      <c r="G136" s="3">
        <v>46108</v>
      </c>
      <c r="H136" s="1" t="s">
        <v>632</v>
      </c>
      <c r="I136" s="1" t="s">
        <v>34</v>
      </c>
      <c r="J136" s="1" t="s">
        <v>35</v>
      </c>
      <c r="K136" s="1" t="s">
        <v>35</v>
      </c>
      <c r="L136" t="s">
        <v>631</v>
      </c>
      <c r="M136" s="1" t="s">
        <v>45</v>
      </c>
      <c r="N136" s="3">
        <v>46106</v>
      </c>
      <c r="O136" s="1" t="s">
        <v>30</v>
      </c>
      <c r="P136" s="4">
        <v>10000</v>
      </c>
      <c r="Q136" s="5">
        <v>150</v>
      </c>
      <c r="R136" s="1" t="s">
        <v>38</v>
      </c>
      <c r="S136" s="5">
        <v>0</v>
      </c>
      <c r="T136" s="1" t="s">
        <v>39</v>
      </c>
      <c r="U136" s="4">
        <v>12253</v>
      </c>
      <c r="Y136" s="1" t="s">
        <v>58</v>
      </c>
      <c r="Z136" s="3">
        <v>46108</v>
      </c>
      <c r="AA136" s="1" t="s">
        <v>41</v>
      </c>
      <c r="AB136" s="1" t="s">
        <v>42</v>
      </c>
      <c r="AC136" t="b">
        <f t="shared" si="8"/>
        <v>1</v>
      </c>
      <c r="AD136" t="b">
        <f t="shared" si="9"/>
        <v>0</v>
      </c>
      <c r="AE136" t="b">
        <f t="shared" si="10"/>
        <v>0</v>
      </c>
      <c r="AF136" t="b">
        <f t="shared" si="11"/>
        <v>0</v>
      </c>
    </row>
    <row r="137" spans="1:32">
      <c r="A137" t="s">
        <v>633</v>
      </c>
      <c r="B137" s="1" t="s">
        <v>634</v>
      </c>
      <c r="C137" s="2">
        <v>46121.879918981504</v>
      </c>
      <c r="D137" s="1" t="s">
        <v>30</v>
      </c>
      <c r="E137" s="1" t="s">
        <v>635</v>
      </c>
      <c r="F137" s="1" t="s">
        <v>636</v>
      </c>
      <c r="G137" s="3">
        <v>46127</v>
      </c>
      <c r="H137" s="1" t="s">
        <v>637</v>
      </c>
      <c r="I137" s="1" t="s">
        <v>34</v>
      </c>
      <c r="J137" s="1" t="s">
        <v>35</v>
      </c>
      <c r="K137" s="1" t="s">
        <v>232</v>
      </c>
      <c r="L137" t="s">
        <v>636</v>
      </c>
      <c r="M137" s="1" t="s">
        <v>37</v>
      </c>
      <c r="N137" s="3">
        <v>46121</v>
      </c>
      <c r="O137" s="1" t="s">
        <v>30</v>
      </c>
      <c r="P137" s="4">
        <v>10000</v>
      </c>
      <c r="Q137" s="5">
        <v>2</v>
      </c>
      <c r="R137" s="1" t="s">
        <v>38</v>
      </c>
      <c r="S137" s="5">
        <v>2000</v>
      </c>
      <c r="T137" s="1" t="s">
        <v>39</v>
      </c>
      <c r="U137" s="4">
        <v>12545</v>
      </c>
      <c r="Y137" s="1" t="s">
        <v>58</v>
      </c>
      <c r="Z137" s="3">
        <v>46127</v>
      </c>
      <c r="AA137" s="1" t="s">
        <v>41</v>
      </c>
      <c r="AB137" s="1" t="s">
        <v>42</v>
      </c>
      <c r="AC137" t="b">
        <f t="shared" si="8"/>
        <v>0</v>
      </c>
      <c r="AD137" t="b">
        <f t="shared" si="9"/>
        <v>0</v>
      </c>
      <c r="AE137" t="b">
        <f t="shared" si="10"/>
        <v>0</v>
      </c>
      <c r="AF137" t="b">
        <f t="shared" si="11"/>
        <v>0</v>
      </c>
    </row>
    <row r="138" spans="1:32">
      <c r="A138" t="s">
        <v>638</v>
      </c>
      <c r="B138" s="1" t="s">
        <v>639</v>
      </c>
      <c r="C138" s="2">
        <v>46030.636539351799</v>
      </c>
      <c r="D138" s="1" t="s">
        <v>30</v>
      </c>
      <c r="E138" s="1" t="s">
        <v>393</v>
      </c>
      <c r="F138" s="1" t="s">
        <v>248</v>
      </c>
      <c r="G138" s="3">
        <v>46031</v>
      </c>
      <c r="H138" s="1" t="s">
        <v>640</v>
      </c>
      <c r="I138" s="1" t="s">
        <v>34</v>
      </c>
      <c r="J138" s="1" t="s">
        <v>35</v>
      </c>
      <c r="K138" s="1" t="s">
        <v>296</v>
      </c>
      <c r="L138" t="s">
        <v>248</v>
      </c>
      <c r="M138" s="1" t="s">
        <v>37</v>
      </c>
      <c r="N138" s="3">
        <v>46030</v>
      </c>
      <c r="O138" s="1" t="s">
        <v>30</v>
      </c>
      <c r="P138" s="4">
        <v>10000</v>
      </c>
      <c r="Q138" s="5">
        <v>1</v>
      </c>
      <c r="R138" s="1" t="s">
        <v>38</v>
      </c>
      <c r="S138" s="5">
        <v>1000</v>
      </c>
      <c r="T138" s="1" t="s">
        <v>39</v>
      </c>
      <c r="U138" s="4">
        <v>11874</v>
      </c>
      <c r="Y138" s="1" t="s">
        <v>58</v>
      </c>
      <c r="Z138" s="3">
        <v>46031</v>
      </c>
      <c r="AA138" s="1" t="s">
        <v>41</v>
      </c>
      <c r="AB138" s="1" t="s">
        <v>42</v>
      </c>
      <c r="AC138" t="b">
        <f t="shared" si="8"/>
        <v>0</v>
      </c>
      <c r="AD138" t="b">
        <f t="shared" si="9"/>
        <v>0</v>
      </c>
      <c r="AE138" t="b">
        <f t="shared" si="10"/>
        <v>0</v>
      </c>
      <c r="AF138" t="b">
        <f t="shared" si="11"/>
        <v>0</v>
      </c>
    </row>
    <row r="139" spans="1:32">
      <c r="A139" t="s">
        <v>641</v>
      </c>
      <c r="B139" s="1" t="s">
        <v>642</v>
      </c>
      <c r="C139" s="2">
        <v>46034.922500000001</v>
      </c>
      <c r="D139" s="1" t="s">
        <v>30</v>
      </c>
      <c r="E139" s="1" t="s">
        <v>100</v>
      </c>
      <c r="F139" s="1" t="s">
        <v>101</v>
      </c>
      <c r="G139" s="3">
        <v>46085</v>
      </c>
      <c r="H139" s="1" t="s">
        <v>643</v>
      </c>
      <c r="I139" s="1" t="s">
        <v>34</v>
      </c>
      <c r="J139" s="1" t="s">
        <v>35</v>
      </c>
      <c r="K139" s="1" t="s">
        <v>64</v>
      </c>
      <c r="L139" t="s">
        <v>101</v>
      </c>
      <c r="N139" s="3">
        <v>46034</v>
      </c>
      <c r="O139" s="1" t="s">
        <v>30</v>
      </c>
      <c r="P139" s="4">
        <v>10000</v>
      </c>
      <c r="Q139" s="5">
        <v>12</v>
      </c>
      <c r="R139" s="1" t="s">
        <v>38</v>
      </c>
      <c r="S139" s="5">
        <v>400</v>
      </c>
      <c r="T139" s="1" t="s">
        <v>39</v>
      </c>
      <c r="U139" s="4">
        <v>11916</v>
      </c>
      <c r="Y139" s="1" t="s">
        <v>72</v>
      </c>
      <c r="Z139" s="3">
        <v>46085</v>
      </c>
      <c r="AA139" s="1" t="s">
        <v>41</v>
      </c>
      <c r="AB139" s="1" t="s">
        <v>42</v>
      </c>
      <c r="AC139" t="b">
        <f t="shared" si="8"/>
        <v>0</v>
      </c>
      <c r="AD139" t="b">
        <f t="shared" si="9"/>
        <v>0</v>
      </c>
      <c r="AE139" t="b">
        <f t="shared" si="10"/>
        <v>0</v>
      </c>
      <c r="AF139" t="b">
        <f t="shared" si="11"/>
        <v>0</v>
      </c>
    </row>
    <row r="140" spans="1:32">
      <c r="A140" t="s">
        <v>644</v>
      </c>
      <c r="B140" s="1" t="s">
        <v>645</v>
      </c>
      <c r="C140" s="2">
        <v>46162.834502314799</v>
      </c>
      <c r="D140" s="1" t="s">
        <v>30</v>
      </c>
      <c r="E140" s="1" t="s">
        <v>429</v>
      </c>
      <c r="F140" s="1" t="s">
        <v>430</v>
      </c>
      <c r="G140" s="3">
        <v>46203</v>
      </c>
      <c r="H140" s="1" t="s">
        <v>646</v>
      </c>
      <c r="I140" s="1" t="s">
        <v>34</v>
      </c>
      <c r="J140" s="1" t="s">
        <v>647</v>
      </c>
      <c r="K140" s="1" t="s">
        <v>35</v>
      </c>
      <c r="L140" t="s">
        <v>430</v>
      </c>
      <c r="M140" s="1" t="s">
        <v>45</v>
      </c>
      <c r="N140" s="3">
        <v>46162</v>
      </c>
      <c r="O140" s="1" t="s">
        <v>30</v>
      </c>
      <c r="P140" s="4">
        <v>10677</v>
      </c>
      <c r="Q140" s="5">
        <v>3</v>
      </c>
      <c r="R140" s="1" t="s">
        <v>38</v>
      </c>
      <c r="S140" s="5">
        <v>150</v>
      </c>
      <c r="T140" s="1" t="s">
        <v>39</v>
      </c>
      <c r="U140" s="4">
        <v>13678.3</v>
      </c>
      <c r="Y140" s="1" t="s">
        <v>227</v>
      </c>
      <c r="Z140" s="3">
        <v>46203</v>
      </c>
      <c r="AA140" s="1" t="s">
        <v>41</v>
      </c>
      <c r="AB140" s="1" t="s">
        <v>42</v>
      </c>
      <c r="AC140" t="b">
        <f t="shared" si="8"/>
        <v>0</v>
      </c>
      <c r="AD140" t="b">
        <f t="shared" si="9"/>
        <v>0</v>
      </c>
      <c r="AE140" t="b">
        <f t="shared" si="10"/>
        <v>0</v>
      </c>
      <c r="AF140" t="b">
        <f t="shared" si="11"/>
        <v>0</v>
      </c>
    </row>
    <row r="141" spans="1:32">
      <c r="A141" t="s">
        <v>648</v>
      </c>
      <c r="B141" s="1" t="s">
        <v>649</v>
      </c>
      <c r="C141" s="2">
        <v>46107.765347222201</v>
      </c>
      <c r="D141" s="1" t="s">
        <v>30</v>
      </c>
      <c r="E141" s="1" t="s">
        <v>650</v>
      </c>
      <c r="F141" s="1" t="s">
        <v>533</v>
      </c>
      <c r="G141" s="3">
        <v>46107</v>
      </c>
      <c r="H141" s="1" t="s">
        <v>651</v>
      </c>
      <c r="I141" s="1" t="s">
        <v>63</v>
      </c>
      <c r="J141" s="1" t="s">
        <v>202</v>
      </c>
      <c r="K141" s="1" t="s">
        <v>35</v>
      </c>
      <c r="L141" t="s">
        <v>652</v>
      </c>
      <c r="M141" s="1" t="s">
        <v>45</v>
      </c>
      <c r="N141" s="3">
        <v>46107</v>
      </c>
      <c r="O141" s="1" t="s">
        <v>30</v>
      </c>
      <c r="P141" s="4">
        <v>10900</v>
      </c>
      <c r="Q141" s="5">
        <v>5</v>
      </c>
      <c r="R141" s="1" t="s">
        <v>38</v>
      </c>
      <c r="S141" s="5">
        <v>0</v>
      </c>
      <c r="T141" s="1" t="s">
        <v>39</v>
      </c>
      <c r="U141" s="4">
        <v>13476.76</v>
      </c>
      <c r="V141" s="5">
        <v>2</v>
      </c>
      <c r="W141" s="5">
        <v>0</v>
      </c>
      <c r="Z141" s="3">
        <v>46107</v>
      </c>
      <c r="AA141" s="1" t="s">
        <v>41</v>
      </c>
      <c r="AB141" s="1" t="s">
        <v>42</v>
      </c>
      <c r="AC141" t="b">
        <f t="shared" si="8"/>
        <v>1</v>
      </c>
      <c r="AD141" t="b">
        <f t="shared" si="9"/>
        <v>0</v>
      </c>
      <c r="AE141" t="b">
        <f t="shared" si="10"/>
        <v>0</v>
      </c>
      <c r="AF141" t="b">
        <f t="shared" si="11"/>
        <v>0</v>
      </c>
    </row>
    <row r="142" spans="1:32">
      <c r="A142" t="s">
        <v>653</v>
      </c>
      <c r="B142" s="1" t="s">
        <v>654</v>
      </c>
      <c r="C142" s="2">
        <v>46154.911087963003</v>
      </c>
      <c r="D142" s="1" t="s">
        <v>30</v>
      </c>
      <c r="E142" s="1" t="s">
        <v>655</v>
      </c>
      <c r="F142" s="1" t="s">
        <v>248</v>
      </c>
      <c r="G142" s="3">
        <v>46157</v>
      </c>
      <c r="H142" s="1" t="s">
        <v>656</v>
      </c>
      <c r="I142" s="1" t="s">
        <v>63</v>
      </c>
      <c r="J142" s="1" t="s">
        <v>35</v>
      </c>
      <c r="K142" s="1" t="s">
        <v>211</v>
      </c>
      <c r="L142" t="s">
        <v>248</v>
      </c>
      <c r="M142" s="1" t="s">
        <v>37</v>
      </c>
      <c r="N142" s="3">
        <v>46154</v>
      </c>
      <c r="O142" s="1" t="s">
        <v>30</v>
      </c>
      <c r="P142" s="4">
        <v>11000</v>
      </c>
      <c r="Q142" s="5">
        <v>1</v>
      </c>
      <c r="R142" s="1" t="s">
        <v>38</v>
      </c>
      <c r="T142" s="1" t="s">
        <v>39</v>
      </c>
      <c r="U142" s="4">
        <v>14280.2</v>
      </c>
      <c r="V142" s="5">
        <v>0</v>
      </c>
      <c r="W142" s="5">
        <v>12</v>
      </c>
      <c r="Y142" s="1" t="s">
        <v>58</v>
      </c>
      <c r="Z142" s="3">
        <v>46157</v>
      </c>
      <c r="AA142" s="1" t="s">
        <v>41</v>
      </c>
      <c r="AB142" s="1" t="s">
        <v>42</v>
      </c>
      <c r="AC142" t="b">
        <f t="shared" si="8"/>
        <v>0</v>
      </c>
      <c r="AD142" t="b">
        <f t="shared" si="9"/>
        <v>0</v>
      </c>
      <c r="AE142" t="b">
        <f t="shared" si="10"/>
        <v>0</v>
      </c>
      <c r="AF142" t="b">
        <f t="shared" si="11"/>
        <v>0</v>
      </c>
    </row>
    <row r="143" spans="1:32">
      <c r="A143" t="s">
        <v>657</v>
      </c>
      <c r="B143" s="1" t="s">
        <v>658</v>
      </c>
      <c r="C143" s="2">
        <v>46029.815844907404</v>
      </c>
      <c r="D143" s="1" t="s">
        <v>30</v>
      </c>
      <c r="E143" s="1" t="s">
        <v>265</v>
      </c>
      <c r="F143" s="1" t="s">
        <v>266</v>
      </c>
      <c r="G143" s="3">
        <v>46029</v>
      </c>
      <c r="H143" s="1" t="s">
        <v>267</v>
      </c>
      <c r="I143" s="1" t="s">
        <v>34</v>
      </c>
      <c r="J143" s="1" t="s">
        <v>64</v>
      </c>
      <c r="K143" s="1" t="s">
        <v>35</v>
      </c>
      <c r="L143" t="s">
        <v>266</v>
      </c>
      <c r="N143" s="3">
        <v>46029</v>
      </c>
      <c r="O143" s="1" t="s">
        <v>30</v>
      </c>
      <c r="P143" s="4">
        <v>11000</v>
      </c>
      <c r="Q143" s="5">
        <v>20</v>
      </c>
      <c r="R143" s="1" t="s">
        <v>38</v>
      </c>
      <c r="S143" s="5">
        <v>200</v>
      </c>
      <c r="T143" s="1" t="s">
        <v>39</v>
      </c>
      <c r="U143" s="4">
        <v>13061.4</v>
      </c>
      <c r="Y143" s="1" t="s">
        <v>72</v>
      </c>
      <c r="Z143" s="3">
        <v>46029</v>
      </c>
      <c r="AA143" s="1" t="s">
        <v>41</v>
      </c>
      <c r="AB143" s="1" t="s">
        <v>42</v>
      </c>
      <c r="AC143" t="b">
        <f t="shared" si="8"/>
        <v>0</v>
      </c>
      <c r="AD143" t="b">
        <f t="shared" si="9"/>
        <v>0</v>
      </c>
      <c r="AE143" t="b">
        <f t="shared" si="10"/>
        <v>0</v>
      </c>
      <c r="AF143" t="b">
        <f t="shared" si="11"/>
        <v>0</v>
      </c>
    </row>
    <row r="144" spans="1:32">
      <c r="A144" t="s">
        <v>659</v>
      </c>
      <c r="B144" s="1" t="s">
        <v>660</v>
      </c>
      <c r="C144" s="2">
        <v>46182.605636574102</v>
      </c>
      <c r="D144" s="1" t="s">
        <v>30</v>
      </c>
      <c r="E144" s="1" t="s">
        <v>289</v>
      </c>
      <c r="F144" s="1" t="s">
        <v>284</v>
      </c>
      <c r="G144" s="3">
        <v>46168</v>
      </c>
      <c r="H144" s="1" t="s">
        <v>661</v>
      </c>
      <c r="I144" s="1" t="s">
        <v>63</v>
      </c>
      <c r="J144" s="1" t="s">
        <v>35</v>
      </c>
      <c r="K144" s="1" t="s">
        <v>108</v>
      </c>
      <c r="L144" t="s">
        <v>284</v>
      </c>
      <c r="N144" s="3">
        <v>46182</v>
      </c>
      <c r="O144" s="1" t="s">
        <v>30</v>
      </c>
      <c r="P144" s="4">
        <v>11400</v>
      </c>
      <c r="Q144" s="5">
        <v>1</v>
      </c>
      <c r="R144" s="1" t="s">
        <v>38</v>
      </c>
      <c r="T144" s="1" t="s">
        <v>39</v>
      </c>
      <c r="U144" s="4">
        <v>14341.19</v>
      </c>
      <c r="V144" s="5">
        <v>2</v>
      </c>
      <c r="W144" s="5">
        <v>0</v>
      </c>
      <c r="Y144" s="1" t="s">
        <v>286</v>
      </c>
      <c r="Z144" s="3">
        <v>46168</v>
      </c>
      <c r="AA144" s="1" t="s">
        <v>41</v>
      </c>
      <c r="AB144" s="1" t="s">
        <v>42</v>
      </c>
      <c r="AC144" t="b">
        <f t="shared" si="8"/>
        <v>0</v>
      </c>
      <c r="AD144" t="b">
        <f t="shared" si="9"/>
        <v>0</v>
      </c>
      <c r="AE144" t="b">
        <f t="shared" si="10"/>
        <v>0</v>
      </c>
      <c r="AF144" t="b">
        <f t="shared" si="11"/>
        <v>0</v>
      </c>
    </row>
    <row r="145" spans="1:32">
      <c r="A145" t="s">
        <v>662</v>
      </c>
      <c r="B145" s="1" t="s">
        <v>663</v>
      </c>
      <c r="C145" s="2">
        <v>46090.7863657407</v>
      </c>
      <c r="D145" s="1" t="s">
        <v>30</v>
      </c>
      <c r="E145" s="1" t="s">
        <v>664</v>
      </c>
      <c r="F145" s="1" t="s">
        <v>284</v>
      </c>
      <c r="G145" s="3">
        <v>46083</v>
      </c>
      <c r="H145" s="1" t="s">
        <v>665</v>
      </c>
      <c r="I145" s="1" t="s">
        <v>34</v>
      </c>
      <c r="J145" s="1" t="s">
        <v>64</v>
      </c>
      <c r="K145" s="1" t="s">
        <v>35</v>
      </c>
      <c r="L145" t="s">
        <v>284</v>
      </c>
      <c r="N145" s="3">
        <v>46090</v>
      </c>
      <c r="O145" s="1" t="s">
        <v>30</v>
      </c>
      <c r="P145" s="4">
        <v>11500</v>
      </c>
      <c r="Q145" s="5">
        <v>1</v>
      </c>
      <c r="R145" s="1" t="s">
        <v>38</v>
      </c>
      <c r="S145" s="5">
        <v>1210</v>
      </c>
      <c r="T145" s="1" t="s">
        <v>39</v>
      </c>
      <c r="U145" s="4">
        <v>14195.6</v>
      </c>
      <c r="Y145" s="1" t="s">
        <v>286</v>
      </c>
      <c r="Z145" s="3">
        <v>46083</v>
      </c>
      <c r="AA145" s="1" t="s">
        <v>41</v>
      </c>
      <c r="AB145" s="1" t="s">
        <v>42</v>
      </c>
      <c r="AC145" t="b">
        <f t="shared" si="8"/>
        <v>0</v>
      </c>
      <c r="AD145" t="b">
        <f t="shared" si="9"/>
        <v>0</v>
      </c>
      <c r="AE145" t="b">
        <f t="shared" si="10"/>
        <v>0</v>
      </c>
      <c r="AF145" t="b">
        <f t="shared" si="11"/>
        <v>0</v>
      </c>
    </row>
    <row r="146" spans="1:32">
      <c r="A146" t="s">
        <v>666</v>
      </c>
      <c r="B146" s="1" t="s">
        <v>667</v>
      </c>
      <c r="C146" s="2">
        <v>46140.925370370402</v>
      </c>
      <c r="D146" s="1" t="s">
        <v>30</v>
      </c>
      <c r="E146" s="1" t="s">
        <v>668</v>
      </c>
      <c r="F146" s="1" t="s">
        <v>200</v>
      </c>
      <c r="G146" s="3">
        <v>46141</v>
      </c>
      <c r="H146" s="1" t="s">
        <v>669</v>
      </c>
      <c r="I146" s="1" t="s">
        <v>63</v>
      </c>
      <c r="J146" s="1" t="s">
        <v>91</v>
      </c>
      <c r="K146" s="1" t="s">
        <v>35</v>
      </c>
      <c r="L146" t="s">
        <v>200</v>
      </c>
      <c r="M146" s="1" t="s">
        <v>37</v>
      </c>
      <c r="N146" s="3">
        <v>46140</v>
      </c>
      <c r="O146" s="1" t="s">
        <v>30</v>
      </c>
      <c r="P146" s="4">
        <v>11712</v>
      </c>
      <c r="Q146" s="5">
        <v>1</v>
      </c>
      <c r="R146" s="1" t="s">
        <v>38</v>
      </c>
      <c r="T146" s="1" t="s">
        <v>39</v>
      </c>
      <c r="U146" s="4">
        <v>14963.25</v>
      </c>
      <c r="V146" s="5">
        <v>2</v>
      </c>
      <c r="W146" s="5">
        <v>0</v>
      </c>
      <c r="Y146" s="1" t="s">
        <v>40</v>
      </c>
      <c r="Z146" s="3">
        <v>46141</v>
      </c>
      <c r="AA146" s="1" t="s">
        <v>41</v>
      </c>
      <c r="AB146" s="1" t="s">
        <v>42</v>
      </c>
      <c r="AC146" t="b">
        <f t="shared" si="8"/>
        <v>0</v>
      </c>
      <c r="AD146" t="b">
        <f t="shared" si="9"/>
        <v>0</v>
      </c>
      <c r="AE146" t="b">
        <f t="shared" si="10"/>
        <v>0</v>
      </c>
      <c r="AF146" t="b">
        <f t="shared" si="11"/>
        <v>0</v>
      </c>
    </row>
    <row r="147" spans="1:32">
      <c r="A147" t="s">
        <v>670</v>
      </c>
      <c r="B147" s="1" t="s">
        <v>671</v>
      </c>
      <c r="C147" s="2">
        <v>46169.626250000001</v>
      </c>
      <c r="D147" s="1" t="s">
        <v>30</v>
      </c>
      <c r="E147" s="1" t="s">
        <v>438</v>
      </c>
      <c r="F147" s="1" t="s">
        <v>348</v>
      </c>
      <c r="G147" s="3">
        <v>46169</v>
      </c>
      <c r="H147" s="1" t="s">
        <v>672</v>
      </c>
      <c r="I147" s="1" t="s">
        <v>34</v>
      </c>
      <c r="J147" s="1" t="s">
        <v>35</v>
      </c>
      <c r="K147" s="1" t="s">
        <v>168</v>
      </c>
      <c r="L147" t="s">
        <v>348</v>
      </c>
      <c r="M147" s="1" t="s">
        <v>37</v>
      </c>
      <c r="N147" s="3">
        <v>46169</v>
      </c>
      <c r="O147" s="1" t="s">
        <v>30</v>
      </c>
      <c r="P147" s="4">
        <v>12000</v>
      </c>
      <c r="Q147" s="5">
        <v>1</v>
      </c>
      <c r="R147" s="1" t="s">
        <v>38</v>
      </c>
      <c r="S147" s="5">
        <v>1550</v>
      </c>
      <c r="T147" s="1" t="s">
        <v>39</v>
      </c>
      <c r="U147" s="4">
        <v>15416.4</v>
      </c>
      <c r="Y147" s="1" t="s">
        <v>227</v>
      </c>
      <c r="Z147" s="3">
        <v>46169</v>
      </c>
      <c r="AA147" s="1" t="s">
        <v>41</v>
      </c>
      <c r="AB147" s="1" t="s">
        <v>42</v>
      </c>
      <c r="AC147" t="b">
        <f t="shared" si="8"/>
        <v>1</v>
      </c>
      <c r="AD147" t="b">
        <f t="shared" si="9"/>
        <v>0</v>
      </c>
      <c r="AE147" t="b">
        <f t="shared" si="10"/>
        <v>0</v>
      </c>
      <c r="AF147" t="b">
        <f t="shared" si="11"/>
        <v>0</v>
      </c>
    </row>
    <row r="148" spans="1:32">
      <c r="A148" t="s">
        <v>673</v>
      </c>
      <c r="B148" s="1" t="s">
        <v>674</v>
      </c>
      <c r="C148" s="2">
        <v>46120.7426388889</v>
      </c>
      <c r="D148" s="1" t="s">
        <v>30</v>
      </c>
      <c r="E148" s="1" t="s">
        <v>675</v>
      </c>
      <c r="F148" s="1" t="s">
        <v>361</v>
      </c>
      <c r="G148" s="3">
        <v>46120</v>
      </c>
      <c r="H148" s="1" t="s">
        <v>676</v>
      </c>
      <c r="I148" s="1" t="s">
        <v>34</v>
      </c>
      <c r="J148" s="1" t="s">
        <v>64</v>
      </c>
      <c r="K148" s="1" t="s">
        <v>35</v>
      </c>
      <c r="L148" t="s">
        <v>361</v>
      </c>
      <c r="M148" s="1" t="s">
        <v>45</v>
      </c>
      <c r="N148" s="3">
        <v>46120</v>
      </c>
      <c r="O148" s="1" t="s">
        <v>30</v>
      </c>
      <c r="P148" s="4">
        <v>12000</v>
      </c>
      <c r="Q148" s="5">
        <v>1</v>
      </c>
      <c r="R148" s="1" t="s">
        <v>38</v>
      </c>
      <c r="S148" s="5">
        <v>190</v>
      </c>
      <c r="T148" s="1" t="s">
        <v>39</v>
      </c>
      <c r="U148" s="4">
        <v>15043.21</v>
      </c>
      <c r="Y148" s="1" t="s">
        <v>72</v>
      </c>
      <c r="Z148" s="3">
        <v>46120</v>
      </c>
      <c r="AA148" s="1" t="s">
        <v>41</v>
      </c>
      <c r="AB148" s="1" t="s">
        <v>42</v>
      </c>
      <c r="AC148" t="b">
        <f t="shared" si="8"/>
        <v>0</v>
      </c>
      <c r="AD148" t="b">
        <f t="shared" si="9"/>
        <v>0</v>
      </c>
      <c r="AE148" t="b">
        <f t="shared" si="10"/>
        <v>0</v>
      </c>
      <c r="AF148" t="b">
        <f t="shared" si="11"/>
        <v>0</v>
      </c>
    </row>
    <row r="149" spans="1:32">
      <c r="A149" t="s">
        <v>677</v>
      </c>
      <c r="B149" s="1" t="s">
        <v>678</v>
      </c>
      <c r="C149" s="2">
        <v>46176.866122685198</v>
      </c>
      <c r="D149" s="1" t="s">
        <v>30</v>
      </c>
      <c r="E149" s="1" t="s">
        <v>386</v>
      </c>
      <c r="F149" s="1" t="s">
        <v>387</v>
      </c>
      <c r="G149" s="3">
        <v>46175</v>
      </c>
      <c r="H149" s="1" t="s">
        <v>449</v>
      </c>
      <c r="I149" s="1" t="s">
        <v>34</v>
      </c>
      <c r="J149" s="1" t="s">
        <v>78</v>
      </c>
      <c r="K149" s="1" t="s">
        <v>35</v>
      </c>
      <c r="L149" t="s">
        <v>387</v>
      </c>
      <c r="N149" s="3">
        <v>46176</v>
      </c>
      <c r="O149" s="1" t="s">
        <v>30</v>
      </c>
      <c r="P149" s="4">
        <v>12000</v>
      </c>
      <c r="Q149" s="5">
        <v>2</v>
      </c>
      <c r="R149" s="1" t="s">
        <v>38</v>
      </c>
      <c r="S149" s="5">
        <v>1000</v>
      </c>
      <c r="T149" s="1" t="s">
        <v>39</v>
      </c>
      <c r="U149" s="4">
        <v>15391.19</v>
      </c>
      <c r="Y149" s="1" t="s">
        <v>58</v>
      </c>
      <c r="Z149" s="3">
        <v>46175</v>
      </c>
      <c r="AA149" s="1" t="s">
        <v>41</v>
      </c>
      <c r="AB149" s="1" t="s">
        <v>42</v>
      </c>
      <c r="AC149" t="b">
        <f t="shared" si="8"/>
        <v>0</v>
      </c>
      <c r="AD149" t="b">
        <f t="shared" si="9"/>
        <v>0</v>
      </c>
      <c r="AE149" t="b">
        <f t="shared" si="10"/>
        <v>0</v>
      </c>
      <c r="AF149" t="b">
        <f t="shared" si="11"/>
        <v>0</v>
      </c>
    </row>
    <row r="150" spans="1:32">
      <c r="A150" t="s">
        <v>679</v>
      </c>
      <c r="B150" s="1" t="s">
        <v>680</v>
      </c>
      <c r="C150" s="2">
        <v>46167.740370370397</v>
      </c>
      <c r="D150" s="1" t="s">
        <v>30</v>
      </c>
      <c r="E150" s="1" t="s">
        <v>681</v>
      </c>
      <c r="F150" s="1" t="s">
        <v>284</v>
      </c>
      <c r="G150" s="3">
        <v>46163</v>
      </c>
      <c r="H150" s="1" t="s">
        <v>682</v>
      </c>
      <c r="I150" s="1" t="s">
        <v>63</v>
      </c>
      <c r="J150" s="1" t="s">
        <v>103</v>
      </c>
      <c r="K150" s="1" t="s">
        <v>35</v>
      </c>
      <c r="L150" t="s">
        <v>284</v>
      </c>
      <c r="N150" s="3">
        <v>46167</v>
      </c>
      <c r="O150" s="1" t="s">
        <v>30</v>
      </c>
      <c r="P150" s="4">
        <v>12000</v>
      </c>
      <c r="Q150" s="5">
        <v>1</v>
      </c>
      <c r="R150" s="1" t="s">
        <v>38</v>
      </c>
      <c r="T150" s="1" t="s">
        <v>39</v>
      </c>
      <c r="U150" s="4">
        <v>15433.2</v>
      </c>
      <c r="V150" s="5">
        <v>2</v>
      </c>
      <c r="W150" s="5">
        <v>0</v>
      </c>
      <c r="Y150" s="1" t="s">
        <v>286</v>
      </c>
      <c r="Z150" s="3">
        <v>46163</v>
      </c>
      <c r="AA150" s="1" t="s">
        <v>41</v>
      </c>
      <c r="AB150" s="1" t="s">
        <v>42</v>
      </c>
      <c r="AC150" t="b">
        <f t="shared" si="8"/>
        <v>0</v>
      </c>
      <c r="AD150" t="b">
        <f t="shared" si="9"/>
        <v>0</v>
      </c>
      <c r="AE150" t="b">
        <f t="shared" si="10"/>
        <v>0</v>
      </c>
      <c r="AF150" t="b">
        <f t="shared" si="11"/>
        <v>0</v>
      </c>
    </row>
    <row r="151" spans="1:32">
      <c r="A151" t="s">
        <v>683</v>
      </c>
      <c r="B151" s="1" t="s">
        <v>684</v>
      </c>
      <c r="C151" s="2">
        <v>46168.493877314802</v>
      </c>
      <c r="D151" s="1" t="s">
        <v>30</v>
      </c>
      <c r="E151" s="1" t="s">
        <v>685</v>
      </c>
      <c r="F151" s="1" t="s">
        <v>348</v>
      </c>
      <c r="G151" s="3">
        <v>46168</v>
      </c>
      <c r="H151" s="1" t="s">
        <v>686</v>
      </c>
      <c r="I151" s="1" t="s">
        <v>34</v>
      </c>
      <c r="J151" s="1" t="s">
        <v>35</v>
      </c>
      <c r="K151" s="1" t="s">
        <v>232</v>
      </c>
      <c r="L151" t="s">
        <v>348</v>
      </c>
      <c r="M151" s="1" t="s">
        <v>45</v>
      </c>
      <c r="N151" s="3">
        <v>46168</v>
      </c>
      <c r="O151" s="1" t="s">
        <v>30</v>
      </c>
      <c r="P151" s="4">
        <v>12000</v>
      </c>
      <c r="Q151" s="5">
        <v>1</v>
      </c>
      <c r="R151" s="1" t="s">
        <v>38</v>
      </c>
      <c r="S151" s="5">
        <v>100</v>
      </c>
      <c r="T151" s="1" t="s">
        <v>39</v>
      </c>
      <c r="U151" s="4">
        <v>15416.4</v>
      </c>
      <c r="Y151" s="1" t="s">
        <v>227</v>
      </c>
      <c r="Z151" s="3">
        <v>46168</v>
      </c>
      <c r="AA151" s="1" t="s">
        <v>41</v>
      </c>
      <c r="AB151" s="1" t="s">
        <v>42</v>
      </c>
      <c r="AC151" t="b">
        <f t="shared" si="8"/>
        <v>0</v>
      </c>
      <c r="AD151" t="b">
        <f t="shared" si="9"/>
        <v>0</v>
      </c>
      <c r="AE151" t="b">
        <f t="shared" si="10"/>
        <v>0</v>
      </c>
      <c r="AF151" t="b">
        <f t="shared" si="11"/>
        <v>0</v>
      </c>
    </row>
    <row r="152" spans="1:32">
      <c r="A152" t="s">
        <v>687</v>
      </c>
      <c r="B152" s="1" t="s">
        <v>688</v>
      </c>
      <c r="C152" s="2">
        <v>46045.565972222197</v>
      </c>
      <c r="D152" s="1" t="s">
        <v>30</v>
      </c>
      <c r="E152" s="1" t="s">
        <v>689</v>
      </c>
      <c r="F152" s="1" t="s">
        <v>224</v>
      </c>
      <c r="G152" s="3">
        <v>46045</v>
      </c>
      <c r="H152" s="1" t="s">
        <v>690</v>
      </c>
      <c r="I152" s="1" t="s">
        <v>34</v>
      </c>
      <c r="J152" s="1" t="s">
        <v>78</v>
      </c>
      <c r="K152" s="1" t="s">
        <v>35</v>
      </c>
      <c r="L152" t="s">
        <v>224</v>
      </c>
      <c r="M152" s="1" t="s">
        <v>45</v>
      </c>
      <c r="N152" s="3">
        <v>46045</v>
      </c>
      <c r="O152" s="1" t="s">
        <v>30</v>
      </c>
      <c r="P152" s="4">
        <v>12000</v>
      </c>
      <c r="Q152" s="5">
        <v>2</v>
      </c>
      <c r="R152" s="1" t="s">
        <v>38</v>
      </c>
      <c r="S152" s="5">
        <v>300</v>
      </c>
      <c r="T152" s="1" t="s">
        <v>39</v>
      </c>
      <c r="U152" s="4">
        <v>14408.4</v>
      </c>
      <c r="Y152" s="1" t="s">
        <v>227</v>
      </c>
      <c r="Z152" s="3">
        <v>46045</v>
      </c>
      <c r="AA152" s="1" t="s">
        <v>41</v>
      </c>
      <c r="AB152" s="1" t="s">
        <v>42</v>
      </c>
      <c r="AC152" t="b">
        <f t="shared" si="8"/>
        <v>0</v>
      </c>
      <c r="AD152" t="b">
        <f t="shared" si="9"/>
        <v>0</v>
      </c>
      <c r="AE152" t="b">
        <f t="shared" si="10"/>
        <v>0</v>
      </c>
      <c r="AF152" t="b">
        <f t="shared" si="11"/>
        <v>0</v>
      </c>
    </row>
    <row r="153" spans="1:32">
      <c r="A153" t="s">
        <v>691</v>
      </c>
      <c r="B153" s="1" t="s">
        <v>692</v>
      </c>
      <c r="C153" s="2">
        <v>46090.574270833298</v>
      </c>
      <c r="D153" s="1" t="s">
        <v>30</v>
      </c>
      <c r="E153" s="1" t="s">
        <v>322</v>
      </c>
      <c r="F153" s="1" t="s">
        <v>69</v>
      </c>
      <c r="G153" s="3">
        <v>46090</v>
      </c>
      <c r="H153" s="1" t="s">
        <v>323</v>
      </c>
      <c r="I153" s="1" t="s">
        <v>63</v>
      </c>
      <c r="J153" s="1" t="s">
        <v>215</v>
      </c>
      <c r="K153" s="1" t="s">
        <v>35</v>
      </c>
      <c r="L153" t="s">
        <v>69</v>
      </c>
      <c r="N153" s="3">
        <v>46090</v>
      </c>
      <c r="O153" s="1" t="s">
        <v>30</v>
      </c>
      <c r="P153" s="4">
        <v>12000</v>
      </c>
      <c r="Q153" s="5">
        <v>12</v>
      </c>
      <c r="R153" s="1" t="s">
        <v>38</v>
      </c>
      <c r="T153" s="1" t="s">
        <v>39</v>
      </c>
      <c r="U153" s="4">
        <v>14662.8</v>
      </c>
      <c r="V153" s="5">
        <v>0</v>
      </c>
      <c r="W153" s="5">
        <v>8</v>
      </c>
      <c r="Y153" s="1" t="s">
        <v>72</v>
      </c>
      <c r="Z153" s="3">
        <v>46090</v>
      </c>
      <c r="AA153" s="1" t="s">
        <v>41</v>
      </c>
      <c r="AB153" s="1" t="s">
        <v>42</v>
      </c>
      <c r="AC153" t="b">
        <f t="shared" si="8"/>
        <v>0</v>
      </c>
      <c r="AD153" t="b">
        <f t="shared" si="9"/>
        <v>0</v>
      </c>
      <c r="AE153" t="b">
        <f t="shared" si="10"/>
        <v>0</v>
      </c>
      <c r="AF153" t="b">
        <f t="shared" si="11"/>
        <v>0</v>
      </c>
    </row>
    <row r="154" spans="1:32">
      <c r="A154" t="s">
        <v>693</v>
      </c>
      <c r="B154" s="1" t="s">
        <v>694</v>
      </c>
      <c r="C154" s="2">
        <v>46116.492766203701</v>
      </c>
      <c r="D154" s="1" t="s">
        <v>30</v>
      </c>
      <c r="E154" s="1" t="s">
        <v>332</v>
      </c>
      <c r="F154" s="1" t="s">
        <v>200</v>
      </c>
      <c r="G154" s="3">
        <v>46116</v>
      </c>
      <c r="H154" s="1" t="s">
        <v>695</v>
      </c>
      <c r="I154" s="1" t="s">
        <v>34</v>
      </c>
      <c r="J154" s="1" t="s">
        <v>35</v>
      </c>
      <c r="K154" s="1" t="s">
        <v>244</v>
      </c>
      <c r="L154" t="s">
        <v>200</v>
      </c>
      <c r="M154" s="1" t="s">
        <v>45</v>
      </c>
      <c r="N154" s="3">
        <v>46116</v>
      </c>
      <c r="O154" s="1" t="s">
        <v>30</v>
      </c>
      <c r="P154" s="4">
        <v>12826</v>
      </c>
      <c r="Q154" s="5">
        <v>1</v>
      </c>
      <c r="R154" s="1" t="s">
        <v>38</v>
      </c>
      <c r="S154" s="5">
        <v>1700</v>
      </c>
      <c r="T154" s="1" t="s">
        <v>39</v>
      </c>
      <c r="U154" s="4">
        <v>15991.46</v>
      </c>
      <c r="Y154" s="1" t="s">
        <v>40</v>
      </c>
      <c r="Z154" s="3">
        <v>46116</v>
      </c>
      <c r="AA154" s="1" t="s">
        <v>41</v>
      </c>
      <c r="AB154" s="1" t="s">
        <v>42</v>
      </c>
      <c r="AC154" t="b">
        <f t="shared" si="8"/>
        <v>0</v>
      </c>
      <c r="AD154" t="b">
        <f t="shared" si="9"/>
        <v>0</v>
      </c>
      <c r="AE154" t="b">
        <f t="shared" si="10"/>
        <v>0</v>
      </c>
      <c r="AF154" t="b">
        <f t="shared" si="11"/>
        <v>0</v>
      </c>
    </row>
    <row r="155" spans="1:32">
      <c r="A155" t="s">
        <v>696</v>
      </c>
      <c r="B155" s="1" t="s">
        <v>697</v>
      </c>
      <c r="C155" s="2">
        <v>46120.8120486111</v>
      </c>
      <c r="D155" s="1" t="s">
        <v>30</v>
      </c>
      <c r="E155" s="1" t="s">
        <v>299</v>
      </c>
      <c r="F155" s="1" t="s">
        <v>300</v>
      </c>
      <c r="G155" s="3">
        <v>46142</v>
      </c>
      <c r="H155" s="1" t="s">
        <v>301</v>
      </c>
      <c r="I155" s="1" t="s">
        <v>34</v>
      </c>
      <c r="J155" s="1" t="s">
        <v>583</v>
      </c>
      <c r="K155" s="1" t="s">
        <v>35</v>
      </c>
      <c r="L155" t="s">
        <v>300</v>
      </c>
      <c r="M155" s="1" t="s">
        <v>37</v>
      </c>
      <c r="N155" s="3">
        <v>46120</v>
      </c>
      <c r="O155" s="1" t="s">
        <v>30</v>
      </c>
      <c r="P155" s="4">
        <v>13505</v>
      </c>
      <c r="Q155" s="5">
        <v>1</v>
      </c>
      <c r="R155" s="1" t="s">
        <v>65</v>
      </c>
      <c r="S155" s="5">
        <v>822</v>
      </c>
      <c r="T155" s="1" t="s">
        <v>39</v>
      </c>
      <c r="U155" s="4">
        <v>16929.87</v>
      </c>
      <c r="Y155" s="1" t="s">
        <v>58</v>
      </c>
      <c r="Z155" s="3">
        <v>46142</v>
      </c>
      <c r="AA155" s="1" t="s">
        <v>41</v>
      </c>
      <c r="AB155" s="1" t="s">
        <v>208</v>
      </c>
      <c r="AC155" t="b">
        <f t="shared" si="8"/>
        <v>1</v>
      </c>
      <c r="AD155" t="b">
        <f t="shared" si="9"/>
        <v>0</v>
      </c>
      <c r="AE155" t="b">
        <f t="shared" si="10"/>
        <v>0</v>
      </c>
      <c r="AF155" t="b">
        <f t="shared" si="11"/>
        <v>0</v>
      </c>
    </row>
    <row r="156" spans="1:32">
      <c r="A156" t="s">
        <v>698</v>
      </c>
      <c r="B156" s="1" t="s">
        <v>699</v>
      </c>
      <c r="C156" s="2">
        <v>46178.832222222198</v>
      </c>
      <c r="D156" s="1" t="s">
        <v>30</v>
      </c>
      <c r="E156" s="1" t="s">
        <v>700</v>
      </c>
      <c r="F156" s="1" t="s">
        <v>701</v>
      </c>
      <c r="G156" s="3">
        <v>46178</v>
      </c>
      <c r="H156" s="1" t="s">
        <v>702</v>
      </c>
      <c r="I156" s="1" t="s">
        <v>382</v>
      </c>
      <c r="J156" s="1" t="s">
        <v>383</v>
      </c>
      <c r="K156" s="1" t="s">
        <v>35</v>
      </c>
      <c r="L156" t="s">
        <v>701</v>
      </c>
      <c r="M156" s="1" t="s">
        <v>37</v>
      </c>
      <c r="N156" s="3">
        <v>46178</v>
      </c>
      <c r="O156" s="1" t="s">
        <v>30</v>
      </c>
      <c r="P156" s="4">
        <v>14000</v>
      </c>
      <c r="Q156" s="5">
        <v>2</v>
      </c>
      <c r="R156" s="1" t="s">
        <v>38</v>
      </c>
      <c r="T156" s="1" t="s">
        <v>39</v>
      </c>
      <c r="U156" s="4">
        <v>17742.2</v>
      </c>
      <c r="Y156" s="1" t="s">
        <v>227</v>
      </c>
      <c r="Z156" s="3">
        <v>46178</v>
      </c>
      <c r="AA156" s="1" t="s">
        <v>41</v>
      </c>
      <c r="AB156" s="1" t="s">
        <v>42</v>
      </c>
      <c r="AC156" t="b">
        <f t="shared" si="8"/>
        <v>0</v>
      </c>
      <c r="AD156" t="b">
        <f t="shared" si="9"/>
        <v>0</v>
      </c>
      <c r="AE156" t="b">
        <f t="shared" si="10"/>
        <v>0</v>
      </c>
      <c r="AF156" t="b">
        <f t="shared" si="11"/>
        <v>0</v>
      </c>
    </row>
    <row r="157" spans="1:32">
      <c r="A157" t="s">
        <v>703</v>
      </c>
      <c r="B157" s="1" t="s">
        <v>704</v>
      </c>
      <c r="C157" s="2">
        <v>46178.840104166702</v>
      </c>
      <c r="D157" s="1" t="s">
        <v>30</v>
      </c>
      <c r="E157" s="1" t="s">
        <v>503</v>
      </c>
      <c r="F157" s="1" t="s">
        <v>504</v>
      </c>
      <c r="H157" s="1" t="s">
        <v>705</v>
      </c>
      <c r="I157" s="1" t="s">
        <v>34</v>
      </c>
      <c r="J157" s="1" t="s">
        <v>35</v>
      </c>
      <c r="K157" s="1" t="s">
        <v>706</v>
      </c>
      <c r="L157" t="s">
        <v>504</v>
      </c>
      <c r="M157" s="1" t="s">
        <v>37</v>
      </c>
      <c r="O157" s="1" t="s">
        <v>30</v>
      </c>
      <c r="P157" s="4">
        <v>14428.92</v>
      </c>
      <c r="Q157" s="5">
        <v>4</v>
      </c>
      <c r="S157" s="5">
        <v>40</v>
      </c>
      <c r="T157" s="1" t="s">
        <v>39</v>
      </c>
      <c r="U157" s="4">
        <v>18285.77</v>
      </c>
      <c r="Y157" s="1" t="s">
        <v>115</v>
      </c>
      <c r="Z157" s="3">
        <v>46249</v>
      </c>
      <c r="AA157" s="1" t="s">
        <v>506</v>
      </c>
      <c r="AB157" s="1" t="s">
        <v>507</v>
      </c>
      <c r="AC157" t="b">
        <f t="shared" si="8"/>
        <v>0</v>
      </c>
      <c r="AD157" t="b">
        <f t="shared" si="9"/>
        <v>0</v>
      </c>
      <c r="AE157" t="b">
        <f t="shared" si="10"/>
        <v>0</v>
      </c>
      <c r="AF157" t="b">
        <f t="shared" si="11"/>
        <v>0</v>
      </c>
    </row>
    <row r="158" spans="1:32">
      <c r="A158" t="s">
        <v>707</v>
      </c>
      <c r="B158" s="1" t="s">
        <v>708</v>
      </c>
      <c r="C158" s="2">
        <v>46083.719722222202</v>
      </c>
      <c r="D158" s="1" t="s">
        <v>30</v>
      </c>
      <c r="E158" s="1" t="s">
        <v>709</v>
      </c>
      <c r="F158" s="1" t="s">
        <v>533</v>
      </c>
      <c r="G158" s="3">
        <v>46083</v>
      </c>
      <c r="H158" s="1" t="s">
        <v>710</v>
      </c>
      <c r="I158" s="1" t="s">
        <v>63</v>
      </c>
      <c r="J158" s="1" t="s">
        <v>35</v>
      </c>
      <c r="K158" s="1" t="s">
        <v>711</v>
      </c>
      <c r="L158" t="s">
        <v>274</v>
      </c>
      <c r="M158" s="1" t="s">
        <v>37</v>
      </c>
      <c r="N158" s="3">
        <v>46083</v>
      </c>
      <c r="O158" s="1" t="s">
        <v>30</v>
      </c>
      <c r="P158" s="4">
        <v>14800</v>
      </c>
      <c r="Q158" s="5">
        <v>2</v>
      </c>
      <c r="R158" s="1" t="s">
        <v>38</v>
      </c>
      <c r="T158" s="1" t="s">
        <v>39</v>
      </c>
      <c r="U158" s="4">
        <v>18171.439999999999</v>
      </c>
      <c r="V158" s="5">
        <v>6</v>
      </c>
      <c r="W158" s="5">
        <v>0</v>
      </c>
      <c r="Z158" s="3">
        <v>46083</v>
      </c>
      <c r="AA158" s="1" t="s">
        <v>41</v>
      </c>
      <c r="AB158" s="1" t="s">
        <v>42</v>
      </c>
      <c r="AC158" t="b">
        <f t="shared" si="8"/>
        <v>0</v>
      </c>
      <c r="AD158" t="b">
        <f t="shared" si="9"/>
        <v>0</v>
      </c>
      <c r="AE158" t="b">
        <f t="shared" si="10"/>
        <v>0</v>
      </c>
      <c r="AF158" t="b">
        <f t="shared" si="11"/>
        <v>0</v>
      </c>
    </row>
    <row r="159" spans="1:32">
      <c r="A159" t="s">
        <v>712</v>
      </c>
      <c r="B159" s="1" t="s">
        <v>713</v>
      </c>
      <c r="C159" s="2">
        <v>46065.7655324074</v>
      </c>
      <c r="D159" s="1" t="s">
        <v>30</v>
      </c>
      <c r="E159" s="1" t="s">
        <v>377</v>
      </c>
      <c r="F159" s="1" t="s">
        <v>206</v>
      </c>
      <c r="G159" s="3">
        <v>46065</v>
      </c>
      <c r="H159" s="1" t="s">
        <v>378</v>
      </c>
      <c r="I159" s="1" t="s">
        <v>63</v>
      </c>
      <c r="J159" s="1" t="s">
        <v>244</v>
      </c>
      <c r="K159" s="1" t="s">
        <v>35</v>
      </c>
      <c r="L159" t="s">
        <v>206</v>
      </c>
      <c r="N159" s="3">
        <v>46065</v>
      </c>
      <c r="O159" s="1" t="s">
        <v>30</v>
      </c>
      <c r="P159" s="4">
        <v>15000</v>
      </c>
      <c r="Q159" s="5">
        <v>2</v>
      </c>
      <c r="R159" s="1" t="s">
        <v>38</v>
      </c>
      <c r="T159" s="1" t="s">
        <v>39</v>
      </c>
      <c r="U159" s="4">
        <v>18235.5</v>
      </c>
      <c r="V159" s="5">
        <v>100</v>
      </c>
      <c r="W159" s="5">
        <v>1</v>
      </c>
      <c r="Y159" s="1" t="s">
        <v>58</v>
      </c>
      <c r="Z159" s="3">
        <v>46065</v>
      </c>
      <c r="AA159" s="1" t="s">
        <v>41</v>
      </c>
      <c r="AB159" s="1" t="s">
        <v>208</v>
      </c>
      <c r="AC159" t="b">
        <f t="shared" si="8"/>
        <v>0</v>
      </c>
      <c r="AD159" t="b">
        <f t="shared" si="9"/>
        <v>0</v>
      </c>
      <c r="AE159" t="b">
        <f t="shared" si="10"/>
        <v>0</v>
      </c>
      <c r="AF159" t="b">
        <f t="shared" si="11"/>
        <v>0</v>
      </c>
    </row>
    <row r="160" spans="1:32">
      <c r="A160" t="s">
        <v>714</v>
      </c>
      <c r="B160" s="1" t="s">
        <v>715</v>
      </c>
      <c r="C160" s="2">
        <v>46121.877627314803</v>
      </c>
      <c r="D160" s="1" t="s">
        <v>30</v>
      </c>
      <c r="E160" s="1" t="s">
        <v>716</v>
      </c>
      <c r="F160" s="1" t="s">
        <v>242</v>
      </c>
      <c r="G160" s="3">
        <v>46172</v>
      </c>
      <c r="H160" s="1" t="s">
        <v>717</v>
      </c>
      <c r="I160" s="1" t="s">
        <v>63</v>
      </c>
      <c r="J160" s="1" t="s">
        <v>64</v>
      </c>
      <c r="K160" s="1" t="s">
        <v>35</v>
      </c>
      <c r="L160" t="s">
        <v>242</v>
      </c>
      <c r="M160" s="1" t="s">
        <v>45</v>
      </c>
      <c r="N160" s="3">
        <v>46121</v>
      </c>
      <c r="O160" s="1" t="s">
        <v>30</v>
      </c>
      <c r="P160" s="4">
        <v>15000</v>
      </c>
      <c r="Q160" s="5">
        <v>1</v>
      </c>
      <c r="R160" s="1" t="s">
        <v>38</v>
      </c>
      <c r="T160" s="1" t="s">
        <v>39</v>
      </c>
      <c r="U160" s="4">
        <v>18817.509999999998</v>
      </c>
      <c r="V160" s="5">
        <v>0</v>
      </c>
      <c r="W160" s="5">
        <v>45</v>
      </c>
      <c r="Y160" s="1" t="s">
        <v>115</v>
      </c>
      <c r="Z160" s="3">
        <v>46172</v>
      </c>
      <c r="AA160" s="1" t="s">
        <v>41</v>
      </c>
      <c r="AB160" s="1" t="s">
        <v>42</v>
      </c>
      <c r="AC160" t="b">
        <f t="shared" si="8"/>
        <v>1</v>
      </c>
      <c r="AD160" t="b">
        <f t="shared" si="9"/>
        <v>0</v>
      </c>
      <c r="AE160" t="b">
        <f t="shared" si="10"/>
        <v>0</v>
      </c>
      <c r="AF160" t="b">
        <f t="shared" si="11"/>
        <v>0</v>
      </c>
    </row>
    <row r="161" spans="1:32">
      <c r="A161" t="s">
        <v>718</v>
      </c>
      <c r="B161" s="1" t="s">
        <v>719</v>
      </c>
      <c r="C161" s="2">
        <v>46036.740046296298</v>
      </c>
      <c r="D161" s="1" t="s">
        <v>30</v>
      </c>
      <c r="E161" s="1" t="s">
        <v>360</v>
      </c>
      <c r="F161" s="1" t="s">
        <v>361</v>
      </c>
      <c r="G161" s="3">
        <v>46036</v>
      </c>
      <c r="H161" s="1" t="s">
        <v>720</v>
      </c>
      <c r="I161" s="1" t="s">
        <v>34</v>
      </c>
      <c r="J161" s="1" t="s">
        <v>244</v>
      </c>
      <c r="K161" s="1" t="s">
        <v>35</v>
      </c>
      <c r="L161" t="s">
        <v>361</v>
      </c>
      <c r="M161" s="1" t="s">
        <v>45</v>
      </c>
      <c r="N161" s="3">
        <v>46036</v>
      </c>
      <c r="O161" s="1" t="s">
        <v>30</v>
      </c>
      <c r="P161" s="4">
        <v>15000</v>
      </c>
      <c r="Q161" s="5">
        <v>2</v>
      </c>
      <c r="R161" s="1" t="s">
        <v>65</v>
      </c>
      <c r="S161" s="5">
        <v>300</v>
      </c>
      <c r="T161" s="1" t="s">
        <v>39</v>
      </c>
      <c r="U161" s="4">
        <v>17887.5</v>
      </c>
      <c r="Y161" s="1" t="s">
        <v>72</v>
      </c>
      <c r="Z161" s="3">
        <v>46036</v>
      </c>
      <c r="AA161" s="1" t="s">
        <v>41</v>
      </c>
      <c r="AB161" s="1" t="s">
        <v>42</v>
      </c>
      <c r="AC161" t="b">
        <f t="shared" si="8"/>
        <v>0</v>
      </c>
      <c r="AD161" t="b">
        <f t="shared" si="9"/>
        <v>0</v>
      </c>
      <c r="AE161" t="b">
        <f t="shared" si="10"/>
        <v>0</v>
      </c>
      <c r="AF161" t="b">
        <f t="shared" si="11"/>
        <v>0</v>
      </c>
    </row>
    <row r="162" spans="1:32">
      <c r="A162" t="s">
        <v>721</v>
      </c>
      <c r="B162" s="1" t="s">
        <v>722</v>
      </c>
      <c r="C162" s="2">
        <v>46154.634780092601</v>
      </c>
      <c r="D162" s="1" t="s">
        <v>30</v>
      </c>
      <c r="E162" s="1" t="s">
        <v>723</v>
      </c>
      <c r="F162" s="1" t="s">
        <v>266</v>
      </c>
      <c r="G162" s="3">
        <v>46154</v>
      </c>
      <c r="H162" s="1" t="s">
        <v>724</v>
      </c>
      <c r="I162" s="1" t="s">
        <v>34</v>
      </c>
      <c r="J162" s="1" t="s">
        <v>202</v>
      </c>
      <c r="K162" s="1" t="s">
        <v>35</v>
      </c>
      <c r="L162" t="s">
        <v>266</v>
      </c>
      <c r="N162" s="3">
        <v>46154</v>
      </c>
      <c r="O162" s="1" t="s">
        <v>30</v>
      </c>
      <c r="P162" s="4">
        <v>15000</v>
      </c>
      <c r="Q162" s="5">
        <v>10</v>
      </c>
      <c r="R162" s="1" t="s">
        <v>38</v>
      </c>
      <c r="S162" s="5">
        <v>500</v>
      </c>
      <c r="T162" s="1" t="s">
        <v>39</v>
      </c>
      <c r="U162" s="4">
        <v>19441.5</v>
      </c>
      <c r="Y162" s="1" t="s">
        <v>72</v>
      </c>
      <c r="Z162" s="3">
        <v>46154</v>
      </c>
      <c r="AA162" s="1" t="s">
        <v>41</v>
      </c>
      <c r="AB162" s="1" t="s">
        <v>42</v>
      </c>
      <c r="AC162" t="b">
        <f t="shared" si="8"/>
        <v>0</v>
      </c>
      <c r="AD162" t="b">
        <f t="shared" si="9"/>
        <v>0</v>
      </c>
      <c r="AE162" t="b">
        <f t="shared" si="10"/>
        <v>0</v>
      </c>
      <c r="AF162" t="b">
        <f t="shared" si="11"/>
        <v>0</v>
      </c>
    </row>
    <row r="163" spans="1:32">
      <c r="A163" t="s">
        <v>725</v>
      </c>
      <c r="B163" s="1" t="s">
        <v>726</v>
      </c>
      <c r="C163" s="2">
        <v>46030.691550925898</v>
      </c>
      <c r="D163" s="1" t="s">
        <v>30</v>
      </c>
      <c r="E163" s="1" t="s">
        <v>442</v>
      </c>
      <c r="F163" s="1" t="s">
        <v>443</v>
      </c>
      <c r="G163" s="3">
        <v>46053</v>
      </c>
      <c r="H163" s="1" t="s">
        <v>444</v>
      </c>
      <c r="I163" s="1" t="s">
        <v>63</v>
      </c>
      <c r="J163" s="1" t="s">
        <v>108</v>
      </c>
      <c r="K163" s="1" t="s">
        <v>35</v>
      </c>
      <c r="L163" t="s">
        <v>443</v>
      </c>
      <c r="N163" s="3">
        <v>46030</v>
      </c>
      <c r="O163" s="1" t="s">
        <v>30</v>
      </c>
      <c r="P163" s="4">
        <v>15000</v>
      </c>
      <c r="Q163" s="5">
        <v>3</v>
      </c>
      <c r="R163" s="1" t="s">
        <v>38</v>
      </c>
      <c r="T163" s="1" t="s">
        <v>39</v>
      </c>
      <c r="U163" s="4">
        <v>17811</v>
      </c>
      <c r="V163" s="5">
        <v>0</v>
      </c>
      <c r="W163" s="5">
        <v>26</v>
      </c>
      <c r="Y163" s="1" t="s">
        <v>72</v>
      </c>
      <c r="Z163" s="3">
        <v>46053</v>
      </c>
      <c r="AA163" s="1" t="s">
        <v>41</v>
      </c>
      <c r="AB163" s="1" t="s">
        <v>42</v>
      </c>
      <c r="AC163" t="b">
        <f t="shared" si="8"/>
        <v>0</v>
      </c>
      <c r="AD163" t="b">
        <f t="shared" si="9"/>
        <v>0</v>
      </c>
      <c r="AE163" t="b">
        <f t="shared" si="10"/>
        <v>0</v>
      </c>
      <c r="AF163" t="b">
        <f t="shared" si="11"/>
        <v>0</v>
      </c>
    </row>
    <row r="164" spans="1:32">
      <c r="A164" t="s">
        <v>727</v>
      </c>
      <c r="B164" s="1" t="s">
        <v>728</v>
      </c>
      <c r="C164" s="2">
        <v>46098.786747685197</v>
      </c>
      <c r="D164" s="1" t="s">
        <v>30</v>
      </c>
      <c r="E164" s="1" t="s">
        <v>729</v>
      </c>
      <c r="F164" s="1" t="s">
        <v>284</v>
      </c>
      <c r="G164" s="3">
        <v>46097</v>
      </c>
      <c r="H164" s="1" t="s">
        <v>730</v>
      </c>
      <c r="I164" s="1" t="s">
        <v>63</v>
      </c>
      <c r="J164" s="1" t="s">
        <v>35</v>
      </c>
      <c r="K164" s="1" t="s">
        <v>280</v>
      </c>
      <c r="L164" t="s">
        <v>284</v>
      </c>
      <c r="N164" s="3">
        <v>46098</v>
      </c>
      <c r="O164" s="1" t="s">
        <v>30</v>
      </c>
      <c r="P164" s="4">
        <v>15000</v>
      </c>
      <c r="Q164" s="5">
        <v>2</v>
      </c>
      <c r="R164" s="1" t="s">
        <v>38</v>
      </c>
      <c r="T164" s="1" t="s">
        <v>39</v>
      </c>
      <c r="U164" s="4">
        <v>18664.5</v>
      </c>
      <c r="V164" s="5">
        <v>4</v>
      </c>
      <c r="W164" s="5">
        <v>0</v>
      </c>
      <c r="Y164" s="1" t="s">
        <v>286</v>
      </c>
      <c r="Z164" s="3">
        <v>46097</v>
      </c>
      <c r="AA164" s="1" t="s">
        <v>41</v>
      </c>
      <c r="AB164" s="1" t="s">
        <v>42</v>
      </c>
      <c r="AC164" t="b">
        <f t="shared" si="8"/>
        <v>0</v>
      </c>
      <c r="AD164" t="b">
        <f t="shared" si="9"/>
        <v>0</v>
      </c>
      <c r="AE164" t="b">
        <f t="shared" si="10"/>
        <v>0</v>
      </c>
      <c r="AF164" t="b">
        <f t="shared" si="11"/>
        <v>0</v>
      </c>
    </row>
    <row r="165" spans="1:32">
      <c r="A165" t="s">
        <v>731</v>
      </c>
      <c r="B165" s="1" t="s">
        <v>732</v>
      </c>
      <c r="C165" s="2">
        <v>46053.982858796298</v>
      </c>
      <c r="D165" s="1" t="s">
        <v>30</v>
      </c>
      <c r="E165" s="1" t="s">
        <v>733</v>
      </c>
      <c r="F165" s="1" t="s">
        <v>612</v>
      </c>
      <c r="G165" s="3">
        <v>46053</v>
      </c>
      <c r="H165" s="1" t="s">
        <v>734</v>
      </c>
      <c r="I165" s="1" t="s">
        <v>34</v>
      </c>
      <c r="J165" s="1" t="s">
        <v>262</v>
      </c>
      <c r="K165" s="1" t="s">
        <v>35</v>
      </c>
      <c r="L165" t="s">
        <v>612</v>
      </c>
      <c r="M165" s="1" t="s">
        <v>45</v>
      </c>
      <c r="N165" s="3">
        <v>46053</v>
      </c>
      <c r="O165" s="1" t="s">
        <v>30</v>
      </c>
      <c r="P165" s="4">
        <v>15000</v>
      </c>
      <c r="Q165" s="5">
        <v>1</v>
      </c>
      <c r="R165" s="1" t="s">
        <v>38</v>
      </c>
      <c r="S165" s="5">
        <v>500</v>
      </c>
      <c r="T165" s="1" t="s">
        <v>39</v>
      </c>
      <c r="U165" s="4">
        <v>18003</v>
      </c>
      <c r="Y165" s="1" t="s">
        <v>51</v>
      </c>
      <c r="Z165" s="3">
        <v>46053</v>
      </c>
      <c r="AA165" s="1" t="s">
        <v>41</v>
      </c>
      <c r="AB165" s="1" t="s">
        <v>42</v>
      </c>
      <c r="AC165" t="b">
        <f t="shared" si="8"/>
        <v>0</v>
      </c>
      <c r="AD165" t="b">
        <f t="shared" si="9"/>
        <v>0</v>
      </c>
      <c r="AE165" t="b">
        <f t="shared" si="10"/>
        <v>0</v>
      </c>
      <c r="AF165" t="b">
        <f t="shared" si="11"/>
        <v>0</v>
      </c>
    </row>
    <row r="166" spans="1:32">
      <c r="A166" t="s">
        <v>735</v>
      </c>
      <c r="B166" s="1" t="s">
        <v>736</v>
      </c>
      <c r="C166" s="2">
        <v>46073.920682870397</v>
      </c>
      <c r="D166" s="1" t="s">
        <v>30</v>
      </c>
      <c r="E166" s="1" t="s">
        <v>737</v>
      </c>
      <c r="F166" s="1" t="s">
        <v>617</v>
      </c>
      <c r="G166" s="3">
        <v>46072</v>
      </c>
      <c r="H166" s="1" t="s">
        <v>738</v>
      </c>
      <c r="I166" s="1" t="s">
        <v>63</v>
      </c>
      <c r="J166" s="1" t="s">
        <v>353</v>
      </c>
      <c r="K166" s="1" t="s">
        <v>35</v>
      </c>
      <c r="L166" t="s">
        <v>617</v>
      </c>
      <c r="N166" s="3">
        <v>46073</v>
      </c>
      <c r="O166" s="1" t="s">
        <v>30</v>
      </c>
      <c r="P166" s="4">
        <v>15000</v>
      </c>
      <c r="Q166" s="5">
        <v>1</v>
      </c>
      <c r="R166" s="1" t="s">
        <v>38</v>
      </c>
      <c r="T166" s="1" t="s">
        <v>39</v>
      </c>
      <c r="U166" s="4">
        <v>18253.5</v>
      </c>
      <c r="V166" s="5">
        <v>2</v>
      </c>
      <c r="W166" s="5">
        <v>0</v>
      </c>
      <c r="Y166" s="1" t="s">
        <v>227</v>
      </c>
      <c r="Z166" s="3">
        <v>46072</v>
      </c>
      <c r="AA166" s="1" t="s">
        <v>41</v>
      </c>
      <c r="AB166" s="1" t="s">
        <v>42</v>
      </c>
      <c r="AC166" t="b">
        <f t="shared" si="8"/>
        <v>0</v>
      </c>
      <c r="AD166" t="b">
        <f t="shared" si="9"/>
        <v>0</v>
      </c>
      <c r="AE166" t="b">
        <f t="shared" si="10"/>
        <v>0</v>
      </c>
      <c r="AF166" t="b">
        <f t="shared" si="11"/>
        <v>0</v>
      </c>
    </row>
    <row r="167" spans="1:32">
      <c r="A167" t="s">
        <v>739</v>
      </c>
      <c r="B167" s="1" t="s">
        <v>740</v>
      </c>
      <c r="C167" s="2">
        <v>46111.703113425901</v>
      </c>
      <c r="D167" s="1" t="s">
        <v>30</v>
      </c>
      <c r="E167" s="1" t="s">
        <v>737</v>
      </c>
      <c r="F167" s="1" t="s">
        <v>617</v>
      </c>
      <c r="G167" s="3">
        <v>46112</v>
      </c>
      <c r="H167" s="1" t="s">
        <v>741</v>
      </c>
      <c r="I167" s="1" t="s">
        <v>63</v>
      </c>
      <c r="J167" s="1" t="s">
        <v>742</v>
      </c>
      <c r="K167" s="1" t="s">
        <v>35</v>
      </c>
      <c r="L167" t="s">
        <v>617</v>
      </c>
      <c r="N167" s="3">
        <v>46111</v>
      </c>
      <c r="O167" s="1" t="s">
        <v>30</v>
      </c>
      <c r="P167" s="4">
        <v>15000</v>
      </c>
      <c r="Q167" s="5">
        <v>1</v>
      </c>
      <c r="R167" s="1" t="s">
        <v>38</v>
      </c>
      <c r="T167" s="1" t="s">
        <v>39</v>
      </c>
      <c r="U167" s="4">
        <v>18610.509999999998</v>
      </c>
      <c r="V167" s="5">
        <v>2</v>
      </c>
      <c r="W167" s="5">
        <v>0</v>
      </c>
      <c r="Y167" s="1" t="s">
        <v>227</v>
      </c>
      <c r="Z167" s="3">
        <v>46112</v>
      </c>
      <c r="AA167" s="1" t="s">
        <v>41</v>
      </c>
      <c r="AB167" s="1" t="s">
        <v>42</v>
      </c>
      <c r="AC167" t="b">
        <f t="shared" si="8"/>
        <v>0</v>
      </c>
      <c r="AD167" t="b">
        <f t="shared" si="9"/>
        <v>0</v>
      </c>
      <c r="AE167" t="b">
        <f t="shared" si="10"/>
        <v>0</v>
      </c>
      <c r="AF167" t="b">
        <f t="shared" si="11"/>
        <v>0</v>
      </c>
    </row>
    <row r="168" spans="1:32">
      <c r="A168" t="s">
        <v>743</v>
      </c>
      <c r="B168" s="1" t="s">
        <v>744</v>
      </c>
      <c r="C168" s="2">
        <v>46129.597650463002</v>
      </c>
      <c r="D168" s="1" t="s">
        <v>30</v>
      </c>
      <c r="E168" s="1" t="s">
        <v>61</v>
      </c>
      <c r="F168" s="1" t="s">
        <v>533</v>
      </c>
      <c r="G168" s="3">
        <v>46129</v>
      </c>
      <c r="H168" s="1" t="s">
        <v>123</v>
      </c>
      <c r="I168" s="1" t="s">
        <v>63</v>
      </c>
      <c r="J168" s="1" t="s">
        <v>35</v>
      </c>
      <c r="K168" s="1" t="s">
        <v>36</v>
      </c>
      <c r="L168" t="s">
        <v>49</v>
      </c>
      <c r="N168" s="3">
        <v>46129</v>
      </c>
      <c r="O168" s="1" t="s">
        <v>30</v>
      </c>
      <c r="P168" s="4">
        <v>15000</v>
      </c>
      <c r="Q168" s="5">
        <v>50</v>
      </c>
      <c r="R168" s="1" t="s">
        <v>65</v>
      </c>
      <c r="T168" s="1" t="s">
        <v>39</v>
      </c>
      <c r="U168" s="4">
        <v>19051.5</v>
      </c>
      <c r="V168" s="5">
        <v>128</v>
      </c>
      <c r="W168" s="5">
        <v>0</v>
      </c>
      <c r="Z168" s="3">
        <v>46129</v>
      </c>
      <c r="AA168" s="1" t="s">
        <v>41</v>
      </c>
      <c r="AB168" s="1" t="s">
        <v>42</v>
      </c>
      <c r="AC168" t="b">
        <f t="shared" si="8"/>
        <v>1</v>
      </c>
      <c r="AD168" t="b">
        <f t="shared" si="9"/>
        <v>0</v>
      </c>
      <c r="AE168" t="b">
        <f t="shared" si="10"/>
        <v>0</v>
      </c>
      <c r="AF168" t="b">
        <f t="shared" si="11"/>
        <v>0</v>
      </c>
    </row>
    <row r="169" spans="1:32">
      <c r="A169" t="s">
        <v>745</v>
      </c>
      <c r="B169" s="1" t="s">
        <v>746</v>
      </c>
      <c r="C169" s="2">
        <v>46086.9188194444</v>
      </c>
      <c r="D169" s="1" t="s">
        <v>30</v>
      </c>
      <c r="E169" s="1" t="s">
        <v>327</v>
      </c>
      <c r="F169" s="1" t="s">
        <v>328</v>
      </c>
      <c r="G169" s="3">
        <v>46109</v>
      </c>
      <c r="H169" s="1" t="s">
        <v>747</v>
      </c>
      <c r="I169" s="1" t="s">
        <v>63</v>
      </c>
      <c r="J169" s="1" t="s">
        <v>35</v>
      </c>
      <c r="K169" s="1" t="s">
        <v>78</v>
      </c>
      <c r="L169" t="s">
        <v>328</v>
      </c>
      <c r="M169" s="1" t="s">
        <v>37</v>
      </c>
      <c r="N169" s="3">
        <v>46086</v>
      </c>
      <c r="O169" s="1" t="s">
        <v>30</v>
      </c>
      <c r="P169" s="4">
        <v>15232</v>
      </c>
      <c r="Q169" s="5">
        <v>1</v>
      </c>
      <c r="R169" s="1" t="s">
        <v>38</v>
      </c>
      <c r="T169" s="1" t="s">
        <v>39</v>
      </c>
      <c r="U169" s="4">
        <v>18674.439999999999</v>
      </c>
      <c r="V169" s="5">
        <v>1</v>
      </c>
      <c r="W169" s="5">
        <v>0</v>
      </c>
      <c r="Y169" s="1" t="s">
        <v>72</v>
      </c>
      <c r="Z169" s="3">
        <v>46109</v>
      </c>
      <c r="AA169" s="1" t="s">
        <v>41</v>
      </c>
      <c r="AB169" s="1" t="s">
        <v>42</v>
      </c>
      <c r="AC169" t="b">
        <f t="shared" si="8"/>
        <v>0</v>
      </c>
      <c r="AD169" t="b">
        <f t="shared" si="9"/>
        <v>0</v>
      </c>
      <c r="AE169" t="b">
        <f t="shared" si="10"/>
        <v>0</v>
      </c>
      <c r="AF169" t="b">
        <f t="shared" si="11"/>
        <v>0</v>
      </c>
    </row>
    <row r="170" spans="1:32">
      <c r="A170" t="s">
        <v>748</v>
      </c>
      <c r="B170" s="1" t="s">
        <v>749</v>
      </c>
      <c r="C170" s="2">
        <v>46108.806793981501</v>
      </c>
      <c r="D170" s="1" t="s">
        <v>30</v>
      </c>
      <c r="E170" s="1" t="s">
        <v>750</v>
      </c>
      <c r="F170" s="1" t="s">
        <v>112</v>
      </c>
      <c r="G170" s="3">
        <v>46108</v>
      </c>
      <c r="H170" s="1" t="s">
        <v>751</v>
      </c>
      <c r="I170" s="1" t="s">
        <v>34</v>
      </c>
      <c r="J170" s="1" t="s">
        <v>35</v>
      </c>
      <c r="K170" s="1" t="s">
        <v>647</v>
      </c>
      <c r="L170" t="s">
        <v>112</v>
      </c>
      <c r="M170" s="1" t="s">
        <v>37</v>
      </c>
      <c r="N170" s="3">
        <v>46108</v>
      </c>
      <c r="O170" s="1" t="s">
        <v>30</v>
      </c>
      <c r="P170" s="4">
        <v>15490</v>
      </c>
      <c r="Q170" s="5">
        <v>1</v>
      </c>
      <c r="R170" s="1" t="s">
        <v>38</v>
      </c>
      <c r="S170" s="5">
        <v>1462</v>
      </c>
      <c r="T170" s="1" t="s">
        <v>39</v>
      </c>
      <c r="U170" s="4">
        <v>19127.05</v>
      </c>
      <c r="Y170" s="1" t="s">
        <v>115</v>
      </c>
      <c r="Z170" s="3">
        <v>46108</v>
      </c>
      <c r="AA170" s="1" t="s">
        <v>41</v>
      </c>
      <c r="AB170" s="1" t="s">
        <v>42</v>
      </c>
      <c r="AC170" t="b">
        <f t="shared" si="8"/>
        <v>0</v>
      </c>
      <c r="AD170" t="b">
        <f t="shared" si="9"/>
        <v>0</v>
      </c>
      <c r="AE170" t="b">
        <f t="shared" si="10"/>
        <v>0</v>
      </c>
      <c r="AF170" t="b">
        <f t="shared" si="11"/>
        <v>0</v>
      </c>
    </row>
    <row r="171" spans="1:32">
      <c r="A171" t="s">
        <v>752</v>
      </c>
      <c r="B171" s="1" t="s">
        <v>753</v>
      </c>
      <c r="C171" s="2">
        <v>46121.6167824074</v>
      </c>
      <c r="D171" s="1" t="s">
        <v>30</v>
      </c>
      <c r="E171" s="1" t="s">
        <v>308</v>
      </c>
      <c r="F171" s="1" t="s">
        <v>49</v>
      </c>
      <c r="G171" s="3">
        <v>46121</v>
      </c>
      <c r="H171" s="1" t="s">
        <v>754</v>
      </c>
      <c r="I171" s="1" t="s">
        <v>63</v>
      </c>
      <c r="J171" s="1" t="s">
        <v>357</v>
      </c>
      <c r="K171" s="1" t="s">
        <v>35</v>
      </c>
      <c r="L171" t="s">
        <v>49</v>
      </c>
      <c r="N171" s="3">
        <v>46121</v>
      </c>
      <c r="O171" s="1" t="s">
        <v>30</v>
      </c>
      <c r="P171" s="4">
        <v>15800</v>
      </c>
      <c r="Q171" s="5">
        <v>1</v>
      </c>
      <c r="R171" s="1" t="s">
        <v>38</v>
      </c>
      <c r="T171" s="1" t="s">
        <v>39</v>
      </c>
      <c r="U171" s="4">
        <v>19806.89</v>
      </c>
      <c r="V171" s="5">
        <v>1</v>
      </c>
      <c r="W171" s="5">
        <v>0</v>
      </c>
      <c r="Y171" s="1" t="s">
        <v>51</v>
      </c>
      <c r="Z171" s="3">
        <v>46121</v>
      </c>
      <c r="AA171" s="1" t="s">
        <v>41</v>
      </c>
      <c r="AB171" s="1" t="s">
        <v>42</v>
      </c>
      <c r="AC171" t="b">
        <f t="shared" si="8"/>
        <v>0</v>
      </c>
      <c r="AD171" t="b">
        <f t="shared" si="9"/>
        <v>0</v>
      </c>
      <c r="AE171" t="b">
        <f t="shared" si="10"/>
        <v>0</v>
      </c>
      <c r="AF171" t="b">
        <f t="shared" si="11"/>
        <v>0</v>
      </c>
    </row>
    <row r="172" spans="1:32">
      <c r="A172" t="s">
        <v>755</v>
      </c>
      <c r="B172" s="1" t="s">
        <v>756</v>
      </c>
      <c r="C172" s="2">
        <v>46114.031539351898</v>
      </c>
      <c r="D172" s="1" t="s">
        <v>30</v>
      </c>
      <c r="E172" s="1" t="s">
        <v>757</v>
      </c>
      <c r="F172" s="1" t="s">
        <v>524</v>
      </c>
      <c r="G172" s="3">
        <v>46048</v>
      </c>
      <c r="H172" s="1" t="s">
        <v>758</v>
      </c>
      <c r="I172" s="1" t="s">
        <v>63</v>
      </c>
      <c r="J172" s="1" t="s">
        <v>563</v>
      </c>
      <c r="K172" s="1" t="s">
        <v>35</v>
      </c>
      <c r="L172" t="s">
        <v>524</v>
      </c>
      <c r="M172" s="1" t="s">
        <v>45</v>
      </c>
      <c r="N172" s="3">
        <v>46048</v>
      </c>
      <c r="O172" s="1" t="s">
        <v>30</v>
      </c>
      <c r="P172" s="4">
        <v>16000</v>
      </c>
      <c r="Q172" s="5">
        <v>1</v>
      </c>
      <c r="R172" s="1" t="s">
        <v>65</v>
      </c>
      <c r="T172" s="1" t="s">
        <v>39</v>
      </c>
      <c r="U172" s="4">
        <v>19211.2</v>
      </c>
      <c r="V172" s="5">
        <v>0</v>
      </c>
      <c r="W172" s="5">
        <v>7</v>
      </c>
      <c r="Y172" s="1" t="s">
        <v>227</v>
      </c>
      <c r="Z172" s="3">
        <v>46048</v>
      </c>
      <c r="AA172" s="1" t="s">
        <v>41</v>
      </c>
      <c r="AB172" s="1" t="s">
        <v>42</v>
      </c>
      <c r="AC172" t="b">
        <f t="shared" si="8"/>
        <v>0</v>
      </c>
      <c r="AD172" t="b">
        <f t="shared" si="9"/>
        <v>0</v>
      </c>
      <c r="AE172" t="b">
        <f t="shared" si="10"/>
        <v>0</v>
      </c>
      <c r="AF172" t="b">
        <f t="shared" si="11"/>
        <v>0</v>
      </c>
    </row>
    <row r="173" spans="1:32">
      <c r="A173" t="s">
        <v>759</v>
      </c>
      <c r="B173" s="1" t="s">
        <v>760</v>
      </c>
      <c r="C173" s="2">
        <v>46075.983148148101</v>
      </c>
      <c r="D173" s="1" t="s">
        <v>30</v>
      </c>
      <c r="E173" s="1" t="s">
        <v>761</v>
      </c>
      <c r="F173" s="1" t="s">
        <v>89</v>
      </c>
      <c r="G173" s="3">
        <v>46062</v>
      </c>
      <c r="H173" s="1" t="s">
        <v>762</v>
      </c>
      <c r="I173" s="1" t="s">
        <v>97</v>
      </c>
      <c r="J173" s="1" t="s">
        <v>35</v>
      </c>
      <c r="K173" s="1" t="s">
        <v>35</v>
      </c>
      <c r="L173" t="s">
        <v>89</v>
      </c>
      <c r="N173" s="3">
        <v>46062</v>
      </c>
      <c r="O173" s="1" t="s">
        <v>30</v>
      </c>
      <c r="P173" s="4">
        <v>16000</v>
      </c>
      <c r="Q173" s="5">
        <v>1</v>
      </c>
      <c r="R173" s="1" t="s">
        <v>38</v>
      </c>
      <c r="T173" s="1" t="s">
        <v>39</v>
      </c>
      <c r="U173" s="4">
        <v>19318.41</v>
      </c>
      <c r="Y173" s="1" t="s">
        <v>92</v>
      </c>
      <c r="Z173" s="3">
        <v>46062</v>
      </c>
      <c r="AA173" s="1" t="s">
        <v>41</v>
      </c>
      <c r="AB173" s="1" t="s">
        <v>42</v>
      </c>
      <c r="AC173" t="b">
        <f t="shared" si="8"/>
        <v>1</v>
      </c>
      <c r="AD173" t="b">
        <f t="shared" si="9"/>
        <v>0</v>
      </c>
      <c r="AE173" t="b">
        <f t="shared" si="10"/>
        <v>0</v>
      </c>
      <c r="AF173" t="b">
        <f t="shared" si="11"/>
        <v>0</v>
      </c>
    </row>
    <row r="174" spans="1:32">
      <c r="A174" t="s">
        <v>763</v>
      </c>
      <c r="B174" s="1" t="s">
        <v>764</v>
      </c>
      <c r="C174" s="2">
        <v>46170.513900462996</v>
      </c>
      <c r="D174" s="1" t="s">
        <v>30</v>
      </c>
      <c r="E174" s="1" t="s">
        <v>765</v>
      </c>
      <c r="F174" s="1" t="s">
        <v>430</v>
      </c>
      <c r="G174" s="3">
        <v>46264</v>
      </c>
      <c r="H174" s="1" t="s">
        <v>766</v>
      </c>
      <c r="I174" s="1" t="s">
        <v>63</v>
      </c>
      <c r="J174" s="1" t="s">
        <v>64</v>
      </c>
      <c r="K174" s="1" t="s">
        <v>35</v>
      </c>
      <c r="L174" t="s">
        <v>430</v>
      </c>
      <c r="M174" s="1" t="s">
        <v>45</v>
      </c>
      <c r="N174" s="3">
        <v>46170</v>
      </c>
      <c r="O174" s="1" t="s">
        <v>30</v>
      </c>
      <c r="P174" s="4">
        <v>16000</v>
      </c>
      <c r="Q174" s="5">
        <v>3</v>
      </c>
      <c r="R174" s="1" t="s">
        <v>38</v>
      </c>
      <c r="T174" s="1" t="s">
        <v>39</v>
      </c>
      <c r="U174" s="4">
        <v>20412.8</v>
      </c>
      <c r="V174" s="5">
        <v>0</v>
      </c>
      <c r="W174" s="5">
        <v>21</v>
      </c>
      <c r="Y174" s="1" t="s">
        <v>227</v>
      </c>
      <c r="Z174" s="3">
        <v>46264</v>
      </c>
      <c r="AA174" s="1" t="s">
        <v>41</v>
      </c>
      <c r="AB174" s="1" t="s">
        <v>42</v>
      </c>
      <c r="AC174" t="b">
        <f t="shared" si="8"/>
        <v>0</v>
      </c>
      <c r="AD174" t="b">
        <f t="shared" si="9"/>
        <v>0</v>
      </c>
      <c r="AE174" t="b">
        <f t="shared" si="10"/>
        <v>0</v>
      </c>
      <c r="AF174" t="b">
        <f t="shared" si="11"/>
        <v>0</v>
      </c>
    </row>
    <row r="175" spans="1:32">
      <c r="A175" t="s">
        <v>767</v>
      </c>
      <c r="B175" s="1" t="s">
        <v>768</v>
      </c>
      <c r="C175" s="2">
        <v>46167.742627314801</v>
      </c>
      <c r="D175" s="1" t="s">
        <v>30</v>
      </c>
      <c r="E175" s="1" t="s">
        <v>769</v>
      </c>
      <c r="F175" s="1" t="s">
        <v>284</v>
      </c>
      <c r="G175" s="3">
        <v>46159</v>
      </c>
      <c r="H175" s="1" t="s">
        <v>770</v>
      </c>
      <c r="I175" s="1" t="s">
        <v>34</v>
      </c>
      <c r="J175" s="1" t="s">
        <v>244</v>
      </c>
      <c r="K175" s="1" t="s">
        <v>35</v>
      </c>
      <c r="L175" t="s">
        <v>284</v>
      </c>
      <c r="N175" s="3">
        <v>46167</v>
      </c>
      <c r="O175" s="1" t="s">
        <v>30</v>
      </c>
      <c r="P175" s="4">
        <v>16100</v>
      </c>
      <c r="Q175" s="5">
        <v>0</v>
      </c>
      <c r="R175" s="1" t="s">
        <v>38</v>
      </c>
      <c r="S175" s="5">
        <v>602</v>
      </c>
      <c r="T175" s="1" t="s">
        <v>39</v>
      </c>
      <c r="U175" s="4">
        <v>20706.2</v>
      </c>
      <c r="Y175" s="1" t="s">
        <v>286</v>
      </c>
      <c r="Z175" s="3">
        <v>46159</v>
      </c>
      <c r="AA175" s="1" t="s">
        <v>41</v>
      </c>
      <c r="AB175" s="1" t="s">
        <v>42</v>
      </c>
      <c r="AC175" t="b">
        <f t="shared" si="8"/>
        <v>0</v>
      </c>
      <c r="AD175" t="b">
        <f t="shared" si="9"/>
        <v>0</v>
      </c>
      <c r="AE175" t="b">
        <f t="shared" si="10"/>
        <v>0</v>
      </c>
      <c r="AF175" t="b">
        <f t="shared" si="11"/>
        <v>0</v>
      </c>
    </row>
    <row r="176" spans="1:32">
      <c r="A176" t="s">
        <v>771</v>
      </c>
      <c r="B176" s="1" t="s">
        <v>772</v>
      </c>
      <c r="C176" s="2">
        <v>46127.736053240696</v>
      </c>
      <c r="D176" s="1" t="s">
        <v>30</v>
      </c>
      <c r="E176" s="1" t="s">
        <v>773</v>
      </c>
      <c r="F176" s="1" t="s">
        <v>200</v>
      </c>
      <c r="G176" s="3">
        <v>46128</v>
      </c>
      <c r="H176" s="1" t="s">
        <v>774</v>
      </c>
      <c r="I176" s="1" t="s">
        <v>34</v>
      </c>
      <c r="J176" s="1" t="s">
        <v>202</v>
      </c>
      <c r="K176" s="1" t="s">
        <v>35</v>
      </c>
      <c r="L176" t="s">
        <v>200</v>
      </c>
      <c r="M176" s="1" t="s">
        <v>45</v>
      </c>
      <c r="N176" s="3">
        <v>46127</v>
      </c>
      <c r="O176" s="1" t="s">
        <v>30</v>
      </c>
      <c r="P176" s="4">
        <v>16910</v>
      </c>
      <c r="Q176" s="5">
        <v>1</v>
      </c>
      <c r="R176" s="1" t="s">
        <v>38</v>
      </c>
      <c r="S176" s="5">
        <v>1367</v>
      </c>
      <c r="T176" s="1" t="s">
        <v>39</v>
      </c>
      <c r="U176" s="4">
        <v>21468.93</v>
      </c>
      <c r="Y176" s="1" t="s">
        <v>40</v>
      </c>
      <c r="Z176" s="3">
        <v>46128</v>
      </c>
      <c r="AA176" s="1" t="s">
        <v>41</v>
      </c>
      <c r="AB176" s="1" t="s">
        <v>208</v>
      </c>
      <c r="AC176" t="b">
        <f t="shared" si="8"/>
        <v>0</v>
      </c>
      <c r="AD176" t="b">
        <f t="shared" si="9"/>
        <v>0</v>
      </c>
      <c r="AE176" t="b">
        <f t="shared" si="10"/>
        <v>0</v>
      </c>
      <c r="AF176" t="b">
        <f t="shared" si="11"/>
        <v>0</v>
      </c>
    </row>
    <row r="177" spans="1:32">
      <c r="A177" t="s">
        <v>775</v>
      </c>
      <c r="B177" s="1" t="s">
        <v>776</v>
      </c>
      <c r="C177" s="2">
        <v>46119.651481481502</v>
      </c>
      <c r="D177" s="1" t="s">
        <v>30</v>
      </c>
      <c r="E177" s="1" t="s">
        <v>273</v>
      </c>
      <c r="F177" s="1" t="s">
        <v>274</v>
      </c>
      <c r="G177" s="3">
        <v>46029</v>
      </c>
      <c r="H177" s="1" t="s">
        <v>777</v>
      </c>
      <c r="I177" s="1" t="s">
        <v>34</v>
      </c>
      <c r="J177" s="1" t="s">
        <v>35</v>
      </c>
      <c r="K177" s="1" t="s">
        <v>168</v>
      </c>
      <c r="L177" t="s">
        <v>274</v>
      </c>
      <c r="M177" s="1" t="s">
        <v>37</v>
      </c>
      <c r="N177" s="3">
        <v>46029</v>
      </c>
      <c r="O177" s="1" t="s">
        <v>30</v>
      </c>
      <c r="P177" s="4">
        <v>17628</v>
      </c>
      <c r="Q177" s="5">
        <v>2</v>
      </c>
      <c r="R177" s="1" t="s">
        <v>38</v>
      </c>
      <c r="S177" s="5">
        <v>230</v>
      </c>
      <c r="T177" s="1" t="s">
        <v>39</v>
      </c>
      <c r="U177" s="4">
        <v>20845.12</v>
      </c>
      <c r="Y177" s="1" t="s">
        <v>72</v>
      </c>
      <c r="Z177" s="3">
        <v>46029</v>
      </c>
      <c r="AA177" s="1" t="s">
        <v>41</v>
      </c>
      <c r="AB177" s="1" t="s">
        <v>42</v>
      </c>
      <c r="AC177" t="b">
        <f t="shared" si="8"/>
        <v>0</v>
      </c>
      <c r="AD177" t="b">
        <f t="shared" si="9"/>
        <v>0</v>
      </c>
      <c r="AE177" t="b">
        <f t="shared" si="10"/>
        <v>0</v>
      </c>
      <c r="AF177" t="b">
        <f t="shared" si="11"/>
        <v>0</v>
      </c>
    </row>
    <row r="178" spans="1:32">
      <c r="A178" t="s">
        <v>778</v>
      </c>
      <c r="B178" s="1" t="s">
        <v>779</v>
      </c>
      <c r="C178" s="2">
        <v>46105.9209722222</v>
      </c>
      <c r="D178" s="1" t="s">
        <v>30</v>
      </c>
      <c r="E178" s="1" t="s">
        <v>685</v>
      </c>
      <c r="F178" s="1" t="s">
        <v>348</v>
      </c>
      <c r="G178" s="3">
        <v>46108</v>
      </c>
      <c r="H178" s="1" t="s">
        <v>780</v>
      </c>
      <c r="I178" s="1" t="s">
        <v>63</v>
      </c>
      <c r="J178" s="1" t="s">
        <v>357</v>
      </c>
      <c r="K178" s="1" t="s">
        <v>35</v>
      </c>
      <c r="L178" t="s">
        <v>348</v>
      </c>
      <c r="M178" s="1" t="s">
        <v>45</v>
      </c>
      <c r="N178" s="3">
        <v>46105</v>
      </c>
      <c r="O178" s="1" t="s">
        <v>30</v>
      </c>
      <c r="P178" s="4">
        <v>18000</v>
      </c>
      <c r="Q178" s="5">
        <v>1</v>
      </c>
      <c r="R178" s="1" t="s">
        <v>38</v>
      </c>
      <c r="T178" s="1" t="s">
        <v>39</v>
      </c>
      <c r="U178" s="4">
        <v>22055.4</v>
      </c>
      <c r="V178" s="5">
        <v>2</v>
      </c>
      <c r="W178" s="5">
        <v>0</v>
      </c>
      <c r="Y178" s="1" t="s">
        <v>227</v>
      </c>
      <c r="Z178" s="3">
        <v>46108</v>
      </c>
      <c r="AA178" s="1" t="s">
        <v>41</v>
      </c>
      <c r="AB178" s="1" t="s">
        <v>42</v>
      </c>
      <c r="AC178" t="b">
        <f t="shared" si="8"/>
        <v>0</v>
      </c>
      <c r="AD178" t="b">
        <f t="shared" si="9"/>
        <v>0</v>
      </c>
      <c r="AE178" t="b">
        <f t="shared" si="10"/>
        <v>0</v>
      </c>
      <c r="AF178" t="b">
        <f t="shared" si="11"/>
        <v>0</v>
      </c>
    </row>
    <row r="179" spans="1:32">
      <c r="A179" t="s">
        <v>781</v>
      </c>
      <c r="B179" s="1" t="s">
        <v>782</v>
      </c>
      <c r="C179" s="2">
        <v>46134.705763888902</v>
      </c>
      <c r="D179" s="1" t="s">
        <v>30</v>
      </c>
      <c r="E179" s="1" t="s">
        <v>783</v>
      </c>
      <c r="F179" s="1" t="s">
        <v>524</v>
      </c>
      <c r="G179" s="3">
        <v>46142</v>
      </c>
      <c r="H179" s="1" t="s">
        <v>784</v>
      </c>
      <c r="I179" s="1" t="s">
        <v>63</v>
      </c>
      <c r="J179" s="1" t="s">
        <v>35</v>
      </c>
      <c r="K179" s="1" t="s">
        <v>542</v>
      </c>
      <c r="L179" t="s">
        <v>524</v>
      </c>
      <c r="M179" s="1" t="s">
        <v>37</v>
      </c>
      <c r="N179" s="3">
        <v>46134</v>
      </c>
      <c r="O179" s="1" t="s">
        <v>30</v>
      </c>
      <c r="P179" s="4">
        <v>18000</v>
      </c>
      <c r="Q179" s="5">
        <v>18</v>
      </c>
      <c r="R179" s="1" t="s">
        <v>38</v>
      </c>
      <c r="T179" s="1" t="s">
        <v>39</v>
      </c>
      <c r="U179" s="4">
        <v>23065.200000000001</v>
      </c>
      <c r="V179" s="5">
        <v>38</v>
      </c>
      <c r="W179" s="5">
        <v>0</v>
      </c>
      <c r="Y179" s="1" t="s">
        <v>227</v>
      </c>
      <c r="Z179" s="3">
        <v>46142</v>
      </c>
      <c r="AA179" s="1" t="s">
        <v>41</v>
      </c>
      <c r="AB179" s="1" t="s">
        <v>42</v>
      </c>
      <c r="AC179" t="b">
        <f t="shared" si="8"/>
        <v>1</v>
      </c>
      <c r="AD179" t="b">
        <f t="shared" si="9"/>
        <v>0</v>
      </c>
      <c r="AE179" t="b">
        <f t="shared" si="10"/>
        <v>0</v>
      </c>
      <c r="AF179" t="b">
        <f t="shared" si="11"/>
        <v>0</v>
      </c>
    </row>
    <row r="180" spans="1:32">
      <c r="A180" t="s">
        <v>785</v>
      </c>
      <c r="B180" s="1" t="s">
        <v>786</v>
      </c>
      <c r="C180" s="2">
        <v>46087.919305555602</v>
      </c>
      <c r="D180" s="1" t="s">
        <v>30</v>
      </c>
      <c r="E180" s="1" t="s">
        <v>397</v>
      </c>
      <c r="F180" s="1" t="s">
        <v>328</v>
      </c>
      <c r="G180" s="3">
        <v>46123</v>
      </c>
      <c r="H180" s="1" t="s">
        <v>787</v>
      </c>
      <c r="I180" s="1" t="s">
        <v>34</v>
      </c>
      <c r="J180" s="1" t="s">
        <v>35</v>
      </c>
      <c r="K180" s="1" t="s">
        <v>57</v>
      </c>
      <c r="L180" t="s">
        <v>328</v>
      </c>
      <c r="M180" s="1" t="s">
        <v>45</v>
      </c>
      <c r="N180" s="3">
        <v>46087</v>
      </c>
      <c r="O180" s="1" t="s">
        <v>30</v>
      </c>
      <c r="P180" s="4">
        <v>18313</v>
      </c>
      <c r="Q180" s="5">
        <v>1</v>
      </c>
      <c r="R180" s="1" t="s">
        <v>38</v>
      </c>
      <c r="S180" s="5">
        <v>1135</v>
      </c>
      <c r="T180" s="1" t="s">
        <v>39</v>
      </c>
      <c r="U180" s="4">
        <v>22376.65</v>
      </c>
      <c r="Y180" s="1" t="s">
        <v>72</v>
      </c>
      <c r="Z180" s="3">
        <v>46123</v>
      </c>
      <c r="AA180" s="1" t="s">
        <v>41</v>
      </c>
      <c r="AB180" s="1" t="s">
        <v>42</v>
      </c>
      <c r="AC180" t="b">
        <f t="shared" si="8"/>
        <v>0</v>
      </c>
      <c r="AD180" t="b">
        <f t="shared" si="9"/>
        <v>0</v>
      </c>
      <c r="AE180" t="b">
        <f t="shared" si="10"/>
        <v>0</v>
      </c>
      <c r="AF180" t="b">
        <f t="shared" si="11"/>
        <v>0</v>
      </c>
    </row>
    <row r="181" spans="1:32">
      <c r="A181" t="s">
        <v>788</v>
      </c>
      <c r="B181" s="1" t="s">
        <v>789</v>
      </c>
      <c r="C181" s="2">
        <v>46178.808969907397</v>
      </c>
      <c r="D181" s="1" t="s">
        <v>30</v>
      </c>
      <c r="E181" s="1" t="s">
        <v>503</v>
      </c>
      <c r="F181" s="1" t="s">
        <v>504</v>
      </c>
      <c r="H181" s="1" t="s">
        <v>790</v>
      </c>
      <c r="I181" s="1" t="s">
        <v>34</v>
      </c>
      <c r="J181" s="1" t="s">
        <v>108</v>
      </c>
      <c r="K181" s="1" t="s">
        <v>35</v>
      </c>
      <c r="L181" t="s">
        <v>504</v>
      </c>
      <c r="M181" s="1" t="s">
        <v>45</v>
      </c>
      <c r="O181" s="1" t="s">
        <v>30</v>
      </c>
      <c r="P181" s="4">
        <v>18381.759999999998</v>
      </c>
      <c r="Q181" s="5">
        <v>16</v>
      </c>
      <c r="S181" s="5">
        <v>88</v>
      </c>
      <c r="T181" s="1" t="s">
        <v>39</v>
      </c>
      <c r="U181" s="4">
        <v>23295.200000000001</v>
      </c>
      <c r="Y181" s="1" t="s">
        <v>115</v>
      </c>
      <c r="Z181" s="3">
        <v>46239</v>
      </c>
      <c r="AA181" s="1" t="s">
        <v>506</v>
      </c>
      <c r="AB181" s="1" t="s">
        <v>507</v>
      </c>
      <c r="AC181" t="b">
        <f t="shared" si="8"/>
        <v>0</v>
      </c>
      <c r="AD181" t="b">
        <f t="shared" si="9"/>
        <v>0</v>
      </c>
      <c r="AE181" t="b">
        <f t="shared" si="10"/>
        <v>0</v>
      </c>
      <c r="AF181" t="b">
        <f t="shared" si="11"/>
        <v>0</v>
      </c>
    </row>
    <row r="182" spans="1:32">
      <c r="A182" t="s">
        <v>791</v>
      </c>
      <c r="B182" s="1" t="s">
        <v>792</v>
      </c>
      <c r="C182" s="2">
        <v>46066.5870601852</v>
      </c>
      <c r="D182" s="1" t="s">
        <v>30</v>
      </c>
      <c r="E182" s="1" t="s">
        <v>793</v>
      </c>
      <c r="F182" s="1" t="s">
        <v>524</v>
      </c>
      <c r="G182" s="3">
        <v>46066</v>
      </c>
      <c r="H182" s="1" t="s">
        <v>794</v>
      </c>
      <c r="I182" s="1" t="s">
        <v>34</v>
      </c>
      <c r="J182" s="1" t="s">
        <v>64</v>
      </c>
      <c r="K182" s="1" t="s">
        <v>35</v>
      </c>
      <c r="L182" t="s">
        <v>524</v>
      </c>
      <c r="M182" s="1" t="s">
        <v>45</v>
      </c>
      <c r="N182" s="3">
        <v>46066</v>
      </c>
      <c r="O182" s="1" t="s">
        <v>30</v>
      </c>
      <c r="P182" s="4">
        <v>19360</v>
      </c>
      <c r="Q182" s="5">
        <v>1</v>
      </c>
      <c r="R182" s="1" t="s">
        <v>38</v>
      </c>
      <c r="S182" s="5">
        <v>320</v>
      </c>
      <c r="T182" s="1" t="s">
        <v>39</v>
      </c>
      <c r="U182" s="4">
        <v>23535.95</v>
      </c>
      <c r="Y182" s="1" t="s">
        <v>227</v>
      </c>
      <c r="Z182" s="3">
        <v>46066</v>
      </c>
      <c r="AA182" s="1" t="s">
        <v>41</v>
      </c>
      <c r="AB182" s="1" t="s">
        <v>42</v>
      </c>
      <c r="AC182" t="b">
        <f t="shared" si="8"/>
        <v>0</v>
      </c>
      <c r="AD182" t="b">
        <f t="shared" si="9"/>
        <v>0</v>
      </c>
      <c r="AE182" t="b">
        <f t="shared" si="10"/>
        <v>0</v>
      </c>
      <c r="AF182" t="b">
        <f t="shared" si="11"/>
        <v>0</v>
      </c>
    </row>
    <row r="183" spans="1:32">
      <c r="A183" t="s">
        <v>795</v>
      </c>
      <c r="B183" s="1" t="s">
        <v>796</v>
      </c>
      <c r="C183" s="2">
        <v>46144.044664351903</v>
      </c>
      <c r="D183" s="1" t="s">
        <v>30</v>
      </c>
      <c r="E183" s="1" t="s">
        <v>299</v>
      </c>
      <c r="F183" s="1" t="s">
        <v>300</v>
      </c>
      <c r="G183" s="3">
        <v>46142</v>
      </c>
      <c r="H183" s="1" t="s">
        <v>301</v>
      </c>
      <c r="I183" s="1" t="s">
        <v>34</v>
      </c>
      <c r="J183" s="1" t="s">
        <v>36</v>
      </c>
      <c r="K183" s="1" t="s">
        <v>35</v>
      </c>
      <c r="L183" t="s">
        <v>300</v>
      </c>
      <c r="M183" s="1" t="s">
        <v>37</v>
      </c>
      <c r="N183" s="3">
        <v>46120</v>
      </c>
      <c r="O183" s="1" t="s">
        <v>30</v>
      </c>
      <c r="P183" s="4">
        <v>19716</v>
      </c>
      <c r="Q183" s="5">
        <v>1</v>
      </c>
      <c r="R183" s="1" t="s">
        <v>65</v>
      </c>
      <c r="S183" s="5">
        <v>1200</v>
      </c>
      <c r="T183" s="1" t="s">
        <v>39</v>
      </c>
      <c r="U183" s="4">
        <v>24715.99</v>
      </c>
      <c r="Y183" s="1" t="s">
        <v>58</v>
      </c>
      <c r="Z183" s="3">
        <v>46142</v>
      </c>
      <c r="AA183" s="1" t="s">
        <v>41</v>
      </c>
      <c r="AB183" s="1" t="s">
        <v>208</v>
      </c>
      <c r="AC183" t="b">
        <f t="shared" si="8"/>
        <v>1</v>
      </c>
      <c r="AD183" t="b">
        <f t="shared" si="9"/>
        <v>0</v>
      </c>
      <c r="AE183" t="b">
        <f t="shared" si="10"/>
        <v>0</v>
      </c>
      <c r="AF183" t="b">
        <f t="shared" si="11"/>
        <v>0</v>
      </c>
    </row>
    <row r="184" spans="1:32">
      <c r="A184" t="s">
        <v>797</v>
      </c>
      <c r="B184" s="1" t="s">
        <v>798</v>
      </c>
      <c r="C184" s="2">
        <v>46154.634768518503</v>
      </c>
      <c r="D184" s="1" t="s">
        <v>30</v>
      </c>
      <c r="E184" s="1" t="s">
        <v>723</v>
      </c>
      <c r="F184" s="1" t="s">
        <v>266</v>
      </c>
      <c r="G184" s="3">
        <v>46154</v>
      </c>
      <c r="H184" s="1" t="s">
        <v>724</v>
      </c>
      <c r="I184" s="1" t="s">
        <v>34</v>
      </c>
      <c r="J184" s="1" t="s">
        <v>799</v>
      </c>
      <c r="K184" s="1" t="s">
        <v>35</v>
      </c>
      <c r="L184" t="s">
        <v>266</v>
      </c>
      <c r="N184" s="3">
        <v>46154</v>
      </c>
      <c r="O184" s="1" t="s">
        <v>30</v>
      </c>
      <c r="P184" s="4">
        <v>19860</v>
      </c>
      <c r="Q184" s="5">
        <v>12</v>
      </c>
      <c r="R184" s="1" t="s">
        <v>65</v>
      </c>
      <c r="S184" s="5">
        <v>662</v>
      </c>
      <c r="T184" s="1" t="s">
        <v>39</v>
      </c>
      <c r="U184" s="4">
        <v>25740.55</v>
      </c>
      <c r="Y184" s="1" t="s">
        <v>72</v>
      </c>
      <c r="Z184" s="3">
        <v>46154</v>
      </c>
      <c r="AA184" s="1" t="s">
        <v>41</v>
      </c>
      <c r="AB184" s="1" t="s">
        <v>42</v>
      </c>
      <c r="AC184" t="b">
        <f t="shared" si="8"/>
        <v>0</v>
      </c>
      <c r="AD184" t="b">
        <f t="shared" si="9"/>
        <v>0</v>
      </c>
      <c r="AE184" t="b">
        <f t="shared" si="10"/>
        <v>0</v>
      </c>
      <c r="AF184" t="b">
        <f t="shared" si="11"/>
        <v>0</v>
      </c>
    </row>
    <row r="185" spans="1:32">
      <c r="A185" t="s">
        <v>800</v>
      </c>
      <c r="B185" s="1" t="s">
        <v>801</v>
      </c>
      <c r="C185" s="2">
        <v>46090.920624999999</v>
      </c>
      <c r="D185" s="1" t="s">
        <v>30</v>
      </c>
      <c r="E185" s="1" t="s">
        <v>802</v>
      </c>
      <c r="F185" s="1" t="s">
        <v>274</v>
      </c>
      <c r="G185" s="3">
        <v>46142</v>
      </c>
      <c r="H185" s="1" t="s">
        <v>803</v>
      </c>
      <c r="I185" s="1" t="s">
        <v>34</v>
      </c>
      <c r="J185" s="1" t="s">
        <v>35</v>
      </c>
      <c r="K185" s="1" t="s">
        <v>232</v>
      </c>
      <c r="L185" t="s">
        <v>274</v>
      </c>
      <c r="M185" s="1" t="s">
        <v>37</v>
      </c>
      <c r="N185" s="3">
        <v>46090</v>
      </c>
      <c r="O185" s="1" t="s">
        <v>30</v>
      </c>
      <c r="P185" s="4">
        <v>19983</v>
      </c>
      <c r="Q185" s="5">
        <v>1</v>
      </c>
      <c r="R185" s="1" t="s">
        <v>38</v>
      </c>
      <c r="S185" s="5">
        <v>4118</v>
      </c>
      <c r="T185" s="1" t="s">
        <v>39</v>
      </c>
      <c r="U185" s="4">
        <v>24667.01</v>
      </c>
      <c r="Y185" s="1" t="s">
        <v>72</v>
      </c>
      <c r="Z185" s="3">
        <v>46142</v>
      </c>
      <c r="AA185" s="1" t="s">
        <v>41</v>
      </c>
      <c r="AB185" s="1" t="s">
        <v>42</v>
      </c>
      <c r="AC185" t="b">
        <f t="shared" si="8"/>
        <v>0</v>
      </c>
      <c r="AD185" t="b">
        <f t="shared" si="9"/>
        <v>0</v>
      </c>
      <c r="AE185" t="b">
        <f t="shared" si="10"/>
        <v>0</v>
      </c>
      <c r="AF185" t="b">
        <f t="shared" si="11"/>
        <v>0</v>
      </c>
    </row>
    <row r="186" spans="1:32">
      <c r="A186" t="s">
        <v>804</v>
      </c>
      <c r="B186" s="1" t="s">
        <v>805</v>
      </c>
      <c r="C186" s="2">
        <v>46121.8594212963</v>
      </c>
      <c r="D186" s="1" t="s">
        <v>30</v>
      </c>
      <c r="E186" s="1" t="s">
        <v>750</v>
      </c>
      <c r="F186" s="1" t="s">
        <v>112</v>
      </c>
      <c r="G186" s="3">
        <v>46121</v>
      </c>
      <c r="H186" s="1" t="s">
        <v>806</v>
      </c>
      <c r="I186" s="1" t="s">
        <v>34</v>
      </c>
      <c r="J186" s="1" t="s">
        <v>35</v>
      </c>
      <c r="K186" s="1" t="s">
        <v>357</v>
      </c>
      <c r="L186" t="s">
        <v>112</v>
      </c>
      <c r="M186" s="1" t="s">
        <v>37</v>
      </c>
      <c r="N186" s="3">
        <v>46121</v>
      </c>
      <c r="O186" s="1" t="s">
        <v>30</v>
      </c>
      <c r="P186" s="4">
        <v>20000</v>
      </c>
      <c r="Q186" s="5">
        <v>1</v>
      </c>
      <c r="R186" s="1" t="s">
        <v>38</v>
      </c>
      <c r="S186" s="5">
        <v>1462</v>
      </c>
      <c r="T186" s="1" t="s">
        <v>39</v>
      </c>
      <c r="U186" s="4">
        <v>25090.01</v>
      </c>
      <c r="Y186" s="1" t="s">
        <v>115</v>
      </c>
      <c r="Z186" s="3">
        <v>46121</v>
      </c>
      <c r="AA186" s="1" t="s">
        <v>41</v>
      </c>
      <c r="AB186" s="1" t="s">
        <v>42</v>
      </c>
      <c r="AC186" t="b">
        <f t="shared" si="8"/>
        <v>0</v>
      </c>
      <c r="AD186" t="b">
        <f t="shared" si="9"/>
        <v>0</v>
      </c>
      <c r="AE186" t="b">
        <f t="shared" si="10"/>
        <v>0</v>
      </c>
      <c r="AF186" t="b">
        <f t="shared" si="11"/>
        <v>0</v>
      </c>
    </row>
    <row r="187" spans="1:32">
      <c r="A187" t="s">
        <v>807</v>
      </c>
      <c r="B187" s="1" t="s">
        <v>808</v>
      </c>
      <c r="C187" s="2">
        <v>46121.627511574101</v>
      </c>
      <c r="D187" s="1" t="s">
        <v>30</v>
      </c>
      <c r="E187" s="1" t="s">
        <v>809</v>
      </c>
      <c r="F187" s="1" t="s">
        <v>810</v>
      </c>
      <c r="G187" s="3">
        <v>46121</v>
      </c>
      <c r="H187" s="1" t="s">
        <v>811</v>
      </c>
      <c r="I187" s="1" t="s">
        <v>63</v>
      </c>
      <c r="J187" s="1" t="s">
        <v>812</v>
      </c>
      <c r="K187" s="1" t="s">
        <v>35</v>
      </c>
      <c r="L187" t="s">
        <v>810</v>
      </c>
      <c r="N187" s="3">
        <v>46121</v>
      </c>
      <c r="O187" s="1" t="s">
        <v>30</v>
      </c>
      <c r="P187" s="4">
        <v>20000</v>
      </c>
      <c r="Q187" s="5">
        <v>1</v>
      </c>
      <c r="R187" s="1" t="s">
        <v>38</v>
      </c>
      <c r="T187" s="1" t="s">
        <v>39</v>
      </c>
      <c r="U187" s="4">
        <v>25072.01</v>
      </c>
      <c r="V187" s="5">
        <v>2</v>
      </c>
      <c r="W187" s="5">
        <v>0</v>
      </c>
      <c r="Y187" s="1" t="s">
        <v>40</v>
      </c>
      <c r="Z187" s="3">
        <v>46121</v>
      </c>
      <c r="AA187" s="1" t="s">
        <v>41</v>
      </c>
      <c r="AB187" s="1" t="s">
        <v>42</v>
      </c>
      <c r="AC187" t="b">
        <f t="shared" si="8"/>
        <v>0</v>
      </c>
      <c r="AD187" t="b">
        <f t="shared" si="9"/>
        <v>0</v>
      </c>
      <c r="AE187" t="b">
        <f t="shared" si="10"/>
        <v>0</v>
      </c>
      <c r="AF187" t="b">
        <f t="shared" si="11"/>
        <v>0</v>
      </c>
    </row>
    <row r="188" spans="1:32">
      <c r="A188" t="s">
        <v>813</v>
      </c>
      <c r="B188" s="1" t="s">
        <v>814</v>
      </c>
      <c r="C188" s="2">
        <v>46041.573900463001</v>
      </c>
      <c r="D188" s="1" t="s">
        <v>30</v>
      </c>
      <c r="E188" s="1" t="s">
        <v>100</v>
      </c>
      <c r="F188" s="1" t="s">
        <v>101</v>
      </c>
      <c r="G188" s="3">
        <v>46041</v>
      </c>
      <c r="H188" s="1" t="s">
        <v>815</v>
      </c>
      <c r="I188" s="1" t="s">
        <v>34</v>
      </c>
      <c r="J188" s="1" t="s">
        <v>563</v>
      </c>
      <c r="K188" s="1" t="s">
        <v>35</v>
      </c>
      <c r="L188" t="s">
        <v>101</v>
      </c>
      <c r="N188" s="3">
        <v>46041</v>
      </c>
      <c r="O188" s="1" t="s">
        <v>30</v>
      </c>
      <c r="P188" s="4">
        <v>20000</v>
      </c>
      <c r="Q188" s="5">
        <v>12</v>
      </c>
      <c r="R188" s="1" t="s">
        <v>38</v>
      </c>
      <c r="S188" s="5">
        <v>200</v>
      </c>
      <c r="T188" s="1" t="s">
        <v>39</v>
      </c>
      <c r="U188" s="4">
        <v>23918</v>
      </c>
      <c r="Y188" s="1" t="s">
        <v>72</v>
      </c>
      <c r="Z188" s="3">
        <v>46041</v>
      </c>
      <c r="AA188" s="1" t="s">
        <v>41</v>
      </c>
      <c r="AB188" s="1" t="s">
        <v>42</v>
      </c>
      <c r="AC188" t="b">
        <f t="shared" si="8"/>
        <v>0</v>
      </c>
      <c r="AD188" t="b">
        <f t="shared" si="9"/>
        <v>0</v>
      </c>
      <c r="AE188" t="b">
        <f t="shared" si="10"/>
        <v>0</v>
      </c>
      <c r="AF188" t="b">
        <f t="shared" si="11"/>
        <v>0</v>
      </c>
    </row>
    <row r="189" spans="1:32">
      <c r="A189" t="s">
        <v>816</v>
      </c>
      <c r="B189" s="1" t="s">
        <v>817</v>
      </c>
      <c r="C189" s="2">
        <v>46127.787708333301</v>
      </c>
      <c r="D189" s="1" t="s">
        <v>30</v>
      </c>
      <c r="E189" s="1" t="s">
        <v>685</v>
      </c>
      <c r="F189" s="1" t="s">
        <v>348</v>
      </c>
      <c r="G189" s="3">
        <v>46127</v>
      </c>
      <c r="H189" s="1" t="s">
        <v>818</v>
      </c>
      <c r="I189" s="1" t="s">
        <v>34</v>
      </c>
      <c r="J189" s="1" t="s">
        <v>819</v>
      </c>
      <c r="K189" s="1" t="s">
        <v>35</v>
      </c>
      <c r="L189" t="s">
        <v>348</v>
      </c>
      <c r="M189" s="1" t="s">
        <v>45</v>
      </c>
      <c r="N189" s="3">
        <v>46127</v>
      </c>
      <c r="O189" s="1" t="s">
        <v>30</v>
      </c>
      <c r="P189" s="4">
        <v>20000</v>
      </c>
      <c r="Q189" s="5">
        <v>1</v>
      </c>
      <c r="R189" s="1" t="s">
        <v>65</v>
      </c>
      <c r="S189" s="5">
        <v>500</v>
      </c>
      <c r="T189" s="1" t="s">
        <v>39</v>
      </c>
      <c r="U189" s="4">
        <v>25391.99</v>
      </c>
      <c r="Y189" s="1" t="s">
        <v>227</v>
      </c>
      <c r="Z189" s="3">
        <v>46127</v>
      </c>
      <c r="AA189" s="1" t="s">
        <v>41</v>
      </c>
      <c r="AB189" s="1" t="s">
        <v>42</v>
      </c>
      <c r="AC189" t="b">
        <f t="shared" si="8"/>
        <v>0</v>
      </c>
      <c r="AD189" t="b">
        <f t="shared" si="9"/>
        <v>0</v>
      </c>
      <c r="AE189" t="b">
        <f t="shared" si="10"/>
        <v>0</v>
      </c>
      <c r="AF189" t="b">
        <f t="shared" si="11"/>
        <v>0</v>
      </c>
    </row>
    <row r="190" spans="1:32">
      <c r="A190" t="s">
        <v>820</v>
      </c>
      <c r="B190" s="1" t="s">
        <v>821</v>
      </c>
      <c r="C190" s="2">
        <v>46150.557604166701</v>
      </c>
      <c r="D190" s="1" t="s">
        <v>30</v>
      </c>
      <c r="E190" s="1" t="s">
        <v>793</v>
      </c>
      <c r="F190" s="1" t="s">
        <v>524</v>
      </c>
      <c r="G190" s="3">
        <v>46150</v>
      </c>
      <c r="H190" s="1" t="s">
        <v>822</v>
      </c>
      <c r="I190" s="1" t="s">
        <v>34</v>
      </c>
      <c r="J190" s="1" t="s">
        <v>35</v>
      </c>
      <c r="K190" s="1" t="s">
        <v>244</v>
      </c>
      <c r="L190" t="s">
        <v>524</v>
      </c>
      <c r="M190" s="1" t="s">
        <v>45</v>
      </c>
      <c r="N190" s="3">
        <v>46150</v>
      </c>
      <c r="O190" s="1" t="s">
        <v>30</v>
      </c>
      <c r="P190" s="4">
        <v>20000</v>
      </c>
      <c r="Q190" s="5">
        <v>12</v>
      </c>
      <c r="R190" s="1" t="s">
        <v>38</v>
      </c>
      <c r="S190" s="5">
        <v>10000</v>
      </c>
      <c r="T190" s="1" t="s">
        <v>39</v>
      </c>
      <c r="U190" s="4">
        <v>25952</v>
      </c>
      <c r="Y190" s="1" t="s">
        <v>227</v>
      </c>
      <c r="Z190" s="3">
        <v>46150</v>
      </c>
      <c r="AA190" s="1" t="s">
        <v>41</v>
      </c>
      <c r="AB190" s="1" t="s">
        <v>42</v>
      </c>
      <c r="AC190" t="b">
        <f t="shared" si="8"/>
        <v>0</v>
      </c>
      <c r="AD190" t="b">
        <f t="shared" si="9"/>
        <v>0</v>
      </c>
      <c r="AE190" t="b">
        <f t="shared" si="10"/>
        <v>0</v>
      </c>
      <c r="AF190" t="b">
        <f t="shared" si="11"/>
        <v>0</v>
      </c>
    </row>
    <row r="191" spans="1:32">
      <c r="A191" t="s">
        <v>823</v>
      </c>
      <c r="B191" s="1" t="s">
        <v>824</v>
      </c>
      <c r="C191" s="2">
        <v>46086.921180555597</v>
      </c>
      <c r="D191" s="1" t="s">
        <v>30</v>
      </c>
      <c r="E191" s="1" t="s">
        <v>825</v>
      </c>
      <c r="F191" s="1" t="s">
        <v>636</v>
      </c>
      <c r="G191" s="3">
        <v>46087</v>
      </c>
      <c r="H191" s="1" t="s">
        <v>826</v>
      </c>
      <c r="I191" s="1" t="s">
        <v>63</v>
      </c>
      <c r="J191" s="1" t="s">
        <v>35</v>
      </c>
      <c r="K191" s="1" t="s">
        <v>211</v>
      </c>
      <c r="L191" t="s">
        <v>636</v>
      </c>
      <c r="M191" s="1" t="s">
        <v>37</v>
      </c>
      <c r="N191" s="3">
        <v>46086</v>
      </c>
      <c r="O191" s="1" t="s">
        <v>30</v>
      </c>
      <c r="P191" s="4">
        <v>20000</v>
      </c>
      <c r="Q191" s="5">
        <v>5</v>
      </c>
      <c r="R191" s="1" t="s">
        <v>38</v>
      </c>
      <c r="T191" s="1" t="s">
        <v>39</v>
      </c>
      <c r="U191" s="4">
        <v>24520.01</v>
      </c>
      <c r="V191" s="5">
        <v>5</v>
      </c>
      <c r="W191" s="5">
        <v>5</v>
      </c>
      <c r="Y191" s="1" t="s">
        <v>58</v>
      </c>
      <c r="Z191" s="3">
        <v>46087</v>
      </c>
      <c r="AA191" s="1" t="s">
        <v>41</v>
      </c>
      <c r="AB191" s="1" t="s">
        <v>42</v>
      </c>
      <c r="AC191" t="b">
        <f t="shared" si="8"/>
        <v>0</v>
      </c>
      <c r="AD191" t="b">
        <f t="shared" si="9"/>
        <v>0</v>
      </c>
      <c r="AE191" t="b">
        <f t="shared" si="10"/>
        <v>0</v>
      </c>
      <c r="AF191" t="b">
        <f t="shared" si="11"/>
        <v>0</v>
      </c>
    </row>
    <row r="192" spans="1:32">
      <c r="A192" t="s">
        <v>827</v>
      </c>
      <c r="B192" s="1" t="s">
        <v>828</v>
      </c>
      <c r="C192" s="2">
        <v>46114.781030092599</v>
      </c>
      <c r="D192" s="1" t="s">
        <v>30</v>
      </c>
      <c r="E192" s="1" t="s">
        <v>829</v>
      </c>
      <c r="F192" s="1" t="s">
        <v>348</v>
      </c>
      <c r="G192" s="3">
        <v>46114</v>
      </c>
      <c r="H192" s="1" t="s">
        <v>830</v>
      </c>
      <c r="I192" s="1" t="s">
        <v>34</v>
      </c>
      <c r="J192" s="1" t="s">
        <v>563</v>
      </c>
      <c r="K192" s="1" t="s">
        <v>831</v>
      </c>
      <c r="L192" t="s">
        <v>348</v>
      </c>
      <c r="N192" s="3">
        <v>46114</v>
      </c>
      <c r="O192" s="1" t="s">
        <v>30</v>
      </c>
      <c r="P192" s="4">
        <v>20000</v>
      </c>
      <c r="Q192" s="5">
        <v>10</v>
      </c>
      <c r="R192" s="1" t="s">
        <v>38</v>
      </c>
      <c r="S192" s="5">
        <v>500</v>
      </c>
      <c r="T192" s="1" t="s">
        <v>39</v>
      </c>
      <c r="U192" s="4">
        <v>24936.01</v>
      </c>
      <c r="Y192" s="1" t="s">
        <v>227</v>
      </c>
      <c r="Z192" s="3">
        <v>46114</v>
      </c>
      <c r="AA192" s="1" t="s">
        <v>41</v>
      </c>
      <c r="AB192" s="1" t="s">
        <v>42</v>
      </c>
      <c r="AC192" t="b">
        <f t="shared" si="8"/>
        <v>0</v>
      </c>
      <c r="AD192" t="b">
        <f t="shared" si="9"/>
        <v>0</v>
      </c>
      <c r="AE192" t="b">
        <f t="shared" si="10"/>
        <v>0</v>
      </c>
      <c r="AF192" t="b">
        <f t="shared" si="11"/>
        <v>0</v>
      </c>
    </row>
    <row r="193" spans="1:32">
      <c r="A193" t="s">
        <v>832</v>
      </c>
      <c r="B193" s="1" t="s">
        <v>833</v>
      </c>
      <c r="C193" s="2">
        <v>46170.549907407403</v>
      </c>
      <c r="D193" s="1" t="s">
        <v>30</v>
      </c>
      <c r="E193" s="1" t="s">
        <v>834</v>
      </c>
      <c r="F193" s="1" t="s">
        <v>387</v>
      </c>
      <c r="G193" s="3">
        <v>46170</v>
      </c>
      <c r="H193" s="1" t="s">
        <v>835</v>
      </c>
      <c r="I193" s="1" t="s">
        <v>34</v>
      </c>
      <c r="J193" s="1" t="s">
        <v>35</v>
      </c>
      <c r="K193" s="1" t="s">
        <v>836</v>
      </c>
      <c r="L193" t="s">
        <v>387</v>
      </c>
      <c r="N193" s="3">
        <v>46170</v>
      </c>
      <c r="O193" s="1" t="s">
        <v>30</v>
      </c>
      <c r="P193" s="4">
        <v>20000</v>
      </c>
      <c r="Q193" s="5">
        <v>2</v>
      </c>
      <c r="R193" s="1" t="s">
        <v>38</v>
      </c>
      <c r="S193" s="5">
        <v>250</v>
      </c>
      <c r="T193" s="1" t="s">
        <v>39</v>
      </c>
      <c r="U193" s="4">
        <v>25516.01</v>
      </c>
      <c r="Y193" s="1" t="s">
        <v>58</v>
      </c>
      <c r="Z193" s="3">
        <v>46170</v>
      </c>
      <c r="AA193" s="1" t="s">
        <v>41</v>
      </c>
      <c r="AB193" s="1" t="s">
        <v>42</v>
      </c>
      <c r="AC193" t="b">
        <f t="shared" si="8"/>
        <v>0</v>
      </c>
      <c r="AD193" t="b">
        <f t="shared" si="9"/>
        <v>0</v>
      </c>
      <c r="AE193" t="b">
        <f t="shared" si="10"/>
        <v>0</v>
      </c>
      <c r="AF193" t="b">
        <f t="shared" si="11"/>
        <v>0</v>
      </c>
    </row>
    <row r="194" spans="1:32">
      <c r="A194" t="s">
        <v>837</v>
      </c>
      <c r="B194" s="1" t="s">
        <v>838</v>
      </c>
      <c r="C194" s="2">
        <v>46090.574270833298</v>
      </c>
      <c r="D194" s="1" t="s">
        <v>30</v>
      </c>
      <c r="E194" s="1" t="s">
        <v>322</v>
      </c>
      <c r="F194" s="1" t="s">
        <v>69</v>
      </c>
      <c r="G194" s="3">
        <v>46090</v>
      </c>
      <c r="H194" s="1" t="s">
        <v>323</v>
      </c>
      <c r="I194" s="1" t="s">
        <v>63</v>
      </c>
      <c r="J194" s="1" t="s">
        <v>103</v>
      </c>
      <c r="K194" s="1" t="s">
        <v>35</v>
      </c>
      <c r="L194" t="s">
        <v>69</v>
      </c>
      <c r="N194" s="3">
        <v>46090</v>
      </c>
      <c r="O194" s="1" t="s">
        <v>30</v>
      </c>
      <c r="P194" s="4">
        <v>20000</v>
      </c>
      <c r="Q194" s="5">
        <v>20</v>
      </c>
      <c r="R194" s="1" t="s">
        <v>38</v>
      </c>
      <c r="T194" s="1" t="s">
        <v>39</v>
      </c>
      <c r="U194" s="4">
        <v>24438</v>
      </c>
      <c r="V194" s="5">
        <v>0</v>
      </c>
      <c r="W194" s="5">
        <v>160</v>
      </c>
      <c r="Y194" s="1" t="s">
        <v>72</v>
      </c>
      <c r="Z194" s="3">
        <v>46090</v>
      </c>
      <c r="AA194" s="1" t="s">
        <v>41</v>
      </c>
      <c r="AB194" s="1" t="s">
        <v>42</v>
      </c>
      <c r="AC194" t="b">
        <f t="shared" ref="AC194:AC257" si="12">ISNUMBER( SEARCH("HOT",H194))</f>
        <v>0</v>
      </c>
      <c r="AD194" t="b">
        <f t="shared" ref="AD194:AD257" si="13">ISNUMBER( SEARCH("COMM",H194))</f>
        <v>0</v>
      </c>
      <c r="AE194" t="b">
        <f t="shared" ref="AE194:AE257" si="14">ISNUMBER( SEARCH("REEFER",H194))</f>
        <v>0</v>
      </c>
      <c r="AF194" t="b">
        <f t="shared" ref="AF194:AF257" si="15">ISNUMBER( SEARCH("P01",H194))</f>
        <v>0</v>
      </c>
    </row>
    <row r="195" spans="1:32">
      <c r="A195" t="s">
        <v>839</v>
      </c>
      <c r="B195" s="1" t="s">
        <v>840</v>
      </c>
      <c r="C195" s="2">
        <v>46158.879791666703</v>
      </c>
      <c r="D195" s="1" t="s">
        <v>30</v>
      </c>
      <c r="E195" s="1" t="s">
        <v>841</v>
      </c>
      <c r="F195" s="1" t="s">
        <v>242</v>
      </c>
      <c r="G195" s="3">
        <v>46172</v>
      </c>
      <c r="H195" s="1" t="s">
        <v>842</v>
      </c>
      <c r="I195" s="1" t="s">
        <v>63</v>
      </c>
      <c r="J195" s="1" t="s">
        <v>64</v>
      </c>
      <c r="K195" s="1" t="s">
        <v>35</v>
      </c>
      <c r="L195" t="s">
        <v>242</v>
      </c>
      <c r="M195" s="1" t="s">
        <v>45</v>
      </c>
      <c r="N195" s="3">
        <v>46158</v>
      </c>
      <c r="O195" s="1" t="s">
        <v>30</v>
      </c>
      <c r="P195" s="4">
        <v>20000</v>
      </c>
      <c r="Q195" s="5">
        <v>1</v>
      </c>
      <c r="R195" s="1" t="s">
        <v>38</v>
      </c>
      <c r="T195" s="1" t="s">
        <v>39</v>
      </c>
      <c r="U195" s="4">
        <v>26062.01</v>
      </c>
      <c r="V195" s="5">
        <v>2</v>
      </c>
      <c r="W195" s="5">
        <v>0</v>
      </c>
      <c r="Y195" s="1" t="s">
        <v>115</v>
      </c>
      <c r="Z195" s="3">
        <v>46172</v>
      </c>
      <c r="AA195" s="1" t="s">
        <v>41</v>
      </c>
      <c r="AB195" s="1" t="s">
        <v>42</v>
      </c>
      <c r="AC195" t="b">
        <f t="shared" si="12"/>
        <v>1</v>
      </c>
      <c r="AD195" t="b">
        <f t="shared" si="13"/>
        <v>0</v>
      </c>
      <c r="AE195" t="b">
        <f t="shared" si="14"/>
        <v>0</v>
      </c>
      <c r="AF195" t="b">
        <f t="shared" si="15"/>
        <v>0</v>
      </c>
    </row>
    <row r="196" spans="1:32">
      <c r="A196" t="s">
        <v>843</v>
      </c>
      <c r="B196" s="1" t="s">
        <v>844</v>
      </c>
      <c r="C196" s="2">
        <v>46141.7801273148</v>
      </c>
      <c r="D196" s="1" t="s">
        <v>30</v>
      </c>
      <c r="E196" s="1" t="s">
        <v>557</v>
      </c>
      <c r="F196" s="1" t="s">
        <v>460</v>
      </c>
      <c r="G196" s="3">
        <v>46142</v>
      </c>
      <c r="H196" s="1" t="s">
        <v>845</v>
      </c>
      <c r="I196" s="1" t="s">
        <v>63</v>
      </c>
      <c r="J196" s="1" t="s">
        <v>181</v>
      </c>
      <c r="K196" s="1" t="s">
        <v>35</v>
      </c>
      <c r="L196" t="s">
        <v>460</v>
      </c>
      <c r="N196" s="3">
        <v>46141</v>
      </c>
      <c r="O196" s="1" t="s">
        <v>30</v>
      </c>
      <c r="P196" s="4">
        <v>20134</v>
      </c>
      <c r="Q196" s="5">
        <v>1</v>
      </c>
      <c r="R196" s="1" t="s">
        <v>38</v>
      </c>
      <c r="T196" s="1" t="s">
        <v>39</v>
      </c>
      <c r="U196" s="4">
        <v>25799.72</v>
      </c>
      <c r="V196" s="5">
        <v>2</v>
      </c>
      <c r="W196" s="5">
        <v>0</v>
      </c>
      <c r="Y196" s="1" t="s">
        <v>227</v>
      </c>
      <c r="Z196" s="3">
        <v>46142</v>
      </c>
      <c r="AA196" s="1" t="s">
        <v>41</v>
      </c>
      <c r="AB196" s="1" t="s">
        <v>42</v>
      </c>
      <c r="AC196" t="b">
        <f t="shared" si="12"/>
        <v>0</v>
      </c>
      <c r="AD196" t="b">
        <f t="shared" si="13"/>
        <v>0</v>
      </c>
      <c r="AE196" t="b">
        <f t="shared" si="14"/>
        <v>0</v>
      </c>
      <c r="AF196" t="b">
        <f t="shared" si="15"/>
        <v>0</v>
      </c>
    </row>
    <row r="197" spans="1:32">
      <c r="A197" t="s">
        <v>846</v>
      </c>
      <c r="B197" s="1" t="s">
        <v>847</v>
      </c>
      <c r="C197" s="2">
        <v>46151.519803240699</v>
      </c>
      <c r="D197" s="1" t="s">
        <v>30</v>
      </c>
      <c r="E197" s="1" t="s">
        <v>478</v>
      </c>
      <c r="F197" s="1" t="s">
        <v>200</v>
      </c>
      <c r="G197" s="3">
        <v>46151</v>
      </c>
      <c r="H197" s="1" t="s">
        <v>479</v>
      </c>
      <c r="I197" s="1" t="s">
        <v>63</v>
      </c>
      <c r="J197" s="1" t="s">
        <v>35</v>
      </c>
      <c r="K197" s="1" t="s">
        <v>244</v>
      </c>
      <c r="L197" t="s">
        <v>200</v>
      </c>
      <c r="M197" s="1" t="s">
        <v>45</v>
      </c>
      <c r="N197" s="3">
        <v>46151</v>
      </c>
      <c r="O197" s="1" t="s">
        <v>30</v>
      </c>
      <c r="P197" s="4">
        <v>20202</v>
      </c>
      <c r="Q197" s="5">
        <v>2</v>
      </c>
      <c r="R197" s="1" t="s">
        <v>38</v>
      </c>
      <c r="T197" s="1" t="s">
        <v>39</v>
      </c>
      <c r="U197" s="4">
        <v>26123.21</v>
      </c>
      <c r="V197" s="5">
        <v>3</v>
      </c>
      <c r="W197" s="5">
        <v>0</v>
      </c>
      <c r="Y197" s="1" t="s">
        <v>40</v>
      </c>
      <c r="Z197" s="3">
        <v>46151</v>
      </c>
      <c r="AA197" s="1" t="s">
        <v>41</v>
      </c>
      <c r="AB197" s="1" t="s">
        <v>42</v>
      </c>
      <c r="AC197" t="b">
        <f t="shared" si="12"/>
        <v>0</v>
      </c>
      <c r="AD197" t="b">
        <f t="shared" si="13"/>
        <v>0</v>
      </c>
      <c r="AE197" t="b">
        <f t="shared" si="14"/>
        <v>0</v>
      </c>
      <c r="AF197" t="b">
        <f t="shared" si="15"/>
        <v>0</v>
      </c>
    </row>
    <row r="198" spans="1:32">
      <c r="A198" t="s">
        <v>848</v>
      </c>
      <c r="B198" s="1" t="s">
        <v>849</v>
      </c>
      <c r="C198" s="2">
        <v>46041.820532407401</v>
      </c>
      <c r="D198" s="1" t="s">
        <v>30</v>
      </c>
      <c r="E198" s="1" t="s">
        <v>850</v>
      </c>
      <c r="F198" s="1" t="s">
        <v>430</v>
      </c>
      <c r="G198" s="3">
        <v>46053</v>
      </c>
      <c r="H198" s="1" t="s">
        <v>851</v>
      </c>
      <c r="I198" s="1" t="s">
        <v>852</v>
      </c>
      <c r="J198" s="1" t="s">
        <v>35</v>
      </c>
      <c r="K198" s="1" t="s">
        <v>232</v>
      </c>
      <c r="L198" t="s">
        <v>430</v>
      </c>
      <c r="M198" s="1" t="s">
        <v>37</v>
      </c>
      <c r="N198" s="3">
        <v>46041</v>
      </c>
      <c r="O198" s="1" t="s">
        <v>30</v>
      </c>
      <c r="P198" s="4">
        <v>20450</v>
      </c>
      <c r="Q198" s="5">
        <v>1</v>
      </c>
      <c r="R198" s="1" t="s">
        <v>38</v>
      </c>
      <c r="S198" s="5">
        <v>215</v>
      </c>
      <c r="T198" s="1" t="s">
        <v>39</v>
      </c>
      <c r="U198" s="4">
        <v>24474.55</v>
      </c>
      <c r="V198" s="5">
        <v>0</v>
      </c>
      <c r="W198" s="5">
        <v>0</v>
      </c>
      <c r="Y198" s="1" t="s">
        <v>227</v>
      </c>
      <c r="Z198" s="3">
        <v>46053</v>
      </c>
      <c r="AA198" s="1" t="s">
        <v>41</v>
      </c>
      <c r="AB198" s="1" t="s">
        <v>42</v>
      </c>
      <c r="AC198" t="b">
        <f t="shared" si="12"/>
        <v>0</v>
      </c>
      <c r="AD198" t="b">
        <f t="shared" si="13"/>
        <v>0</v>
      </c>
      <c r="AE198" t="b">
        <f t="shared" si="14"/>
        <v>0</v>
      </c>
      <c r="AF198" t="b">
        <f t="shared" si="15"/>
        <v>0</v>
      </c>
    </row>
    <row r="199" spans="1:32">
      <c r="A199" t="s">
        <v>853</v>
      </c>
      <c r="B199" s="1" t="s">
        <v>854</v>
      </c>
      <c r="C199" s="2">
        <v>46083.719710648104</v>
      </c>
      <c r="D199" s="1" t="s">
        <v>30</v>
      </c>
      <c r="E199" s="1" t="s">
        <v>709</v>
      </c>
      <c r="F199" s="1" t="s">
        <v>533</v>
      </c>
      <c r="G199" s="3">
        <v>46083</v>
      </c>
      <c r="H199" s="1" t="s">
        <v>710</v>
      </c>
      <c r="I199" s="1" t="s">
        <v>63</v>
      </c>
      <c r="J199" s="1" t="s">
        <v>35</v>
      </c>
      <c r="K199" s="1" t="s">
        <v>855</v>
      </c>
      <c r="L199" t="s">
        <v>274</v>
      </c>
      <c r="M199" s="1" t="s">
        <v>37</v>
      </c>
      <c r="N199" s="3">
        <v>46083</v>
      </c>
      <c r="O199" s="1" t="s">
        <v>30</v>
      </c>
      <c r="P199" s="4">
        <v>20461</v>
      </c>
      <c r="Q199" s="5">
        <v>1</v>
      </c>
      <c r="R199" s="1" t="s">
        <v>38</v>
      </c>
      <c r="T199" s="1" t="s">
        <v>39</v>
      </c>
      <c r="U199" s="4">
        <v>25122.02</v>
      </c>
      <c r="V199" s="5">
        <v>3</v>
      </c>
      <c r="W199" s="5">
        <v>0</v>
      </c>
      <c r="Z199" s="3">
        <v>46083</v>
      </c>
      <c r="AA199" s="1" t="s">
        <v>41</v>
      </c>
      <c r="AB199" s="1" t="s">
        <v>42</v>
      </c>
      <c r="AC199" t="b">
        <f t="shared" si="12"/>
        <v>0</v>
      </c>
      <c r="AD199" t="b">
        <f t="shared" si="13"/>
        <v>0</v>
      </c>
      <c r="AE199" t="b">
        <f t="shared" si="14"/>
        <v>0</v>
      </c>
      <c r="AF199" t="b">
        <f t="shared" si="15"/>
        <v>0</v>
      </c>
    </row>
    <row r="200" spans="1:32">
      <c r="A200" t="s">
        <v>856</v>
      </c>
      <c r="B200" s="1" t="s">
        <v>857</v>
      </c>
      <c r="C200" s="2">
        <v>46154.745844907397</v>
      </c>
      <c r="D200" s="1" t="s">
        <v>30</v>
      </c>
      <c r="E200" s="1" t="s">
        <v>858</v>
      </c>
      <c r="F200" s="1" t="s">
        <v>49</v>
      </c>
      <c r="G200" s="3">
        <v>46154</v>
      </c>
      <c r="H200" s="1" t="s">
        <v>859</v>
      </c>
      <c r="I200" s="1" t="s">
        <v>63</v>
      </c>
      <c r="J200" s="1" t="s">
        <v>35</v>
      </c>
      <c r="K200" s="1" t="s">
        <v>244</v>
      </c>
      <c r="L200" t="s">
        <v>49</v>
      </c>
      <c r="N200" s="3">
        <v>46154</v>
      </c>
      <c r="O200" s="1" t="s">
        <v>30</v>
      </c>
      <c r="P200" s="4">
        <v>20500</v>
      </c>
      <c r="Q200" s="5">
        <v>1</v>
      </c>
      <c r="R200" s="1" t="s">
        <v>38</v>
      </c>
      <c r="T200" s="1" t="s">
        <v>39</v>
      </c>
      <c r="U200" s="4">
        <v>26613.09</v>
      </c>
      <c r="V200" s="5">
        <v>2</v>
      </c>
      <c r="W200" s="5">
        <v>0</v>
      </c>
      <c r="Y200" s="1" t="s">
        <v>51</v>
      </c>
      <c r="Z200" s="3">
        <v>46154</v>
      </c>
      <c r="AA200" s="1" t="s">
        <v>41</v>
      </c>
      <c r="AB200" s="1" t="s">
        <v>42</v>
      </c>
      <c r="AC200" t="b">
        <f t="shared" si="12"/>
        <v>0</v>
      </c>
      <c r="AD200" t="b">
        <f t="shared" si="13"/>
        <v>0</v>
      </c>
      <c r="AE200" t="b">
        <f t="shared" si="14"/>
        <v>0</v>
      </c>
      <c r="AF200" t="b">
        <f t="shared" si="15"/>
        <v>0</v>
      </c>
    </row>
    <row r="201" spans="1:32">
      <c r="A201" t="s">
        <v>860</v>
      </c>
      <c r="B201" s="1" t="s">
        <v>861</v>
      </c>
      <c r="C201" s="2">
        <v>46099.925625000003</v>
      </c>
      <c r="D201" s="1" t="s">
        <v>30</v>
      </c>
      <c r="E201" s="1" t="s">
        <v>273</v>
      </c>
      <c r="F201" s="1" t="s">
        <v>274</v>
      </c>
      <c r="G201" s="3">
        <v>46143</v>
      </c>
      <c r="H201" s="1" t="s">
        <v>862</v>
      </c>
      <c r="I201" s="1" t="s">
        <v>34</v>
      </c>
      <c r="J201" s="1" t="s">
        <v>168</v>
      </c>
      <c r="K201" s="1" t="s">
        <v>35</v>
      </c>
      <c r="L201" t="s">
        <v>274</v>
      </c>
      <c r="M201" s="1" t="s">
        <v>45</v>
      </c>
      <c r="N201" s="3">
        <v>46099</v>
      </c>
      <c r="O201" s="1" t="s">
        <v>30</v>
      </c>
      <c r="P201" s="4">
        <v>20570</v>
      </c>
      <c r="Q201" s="5">
        <v>10</v>
      </c>
      <c r="R201" s="1" t="s">
        <v>38</v>
      </c>
      <c r="S201" s="5">
        <v>3400</v>
      </c>
      <c r="T201" s="1" t="s">
        <v>39</v>
      </c>
      <c r="U201" s="4">
        <v>25545.88</v>
      </c>
      <c r="Y201" s="1" t="s">
        <v>72</v>
      </c>
      <c r="Z201" s="3">
        <v>46143</v>
      </c>
      <c r="AA201" s="1" t="s">
        <v>41</v>
      </c>
      <c r="AB201" s="1" t="s">
        <v>42</v>
      </c>
      <c r="AC201" t="b">
        <f t="shared" si="12"/>
        <v>0</v>
      </c>
      <c r="AD201" t="b">
        <f t="shared" si="13"/>
        <v>0</v>
      </c>
      <c r="AE201" t="b">
        <f t="shared" si="14"/>
        <v>0</v>
      </c>
      <c r="AF201" t="b">
        <f t="shared" si="15"/>
        <v>0</v>
      </c>
    </row>
    <row r="202" spans="1:32">
      <c r="A202" t="s">
        <v>863</v>
      </c>
      <c r="B202" s="1" t="s">
        <v>864</v>
      </c>
      <c r="C202" s="2">
        <v>46153.783090277801</v>
      </c>
      <c r="D202" s="1" t="s">
        <v>30</v>
      </c>
      <c r="E202" s="1" t="s">
        <v>865</v>
      </c>
      <c r="F202" s="1" t="s">
        <v>84</v>
      </c>
      <c r="G202" s="3">
        <v>46151</v>
      </c>
      <c r="H202" s="1" t="s">
        <v>866</v>
      </c>
      <c r="I202" s="1" t="s">
        <v>34</v>
      </c>
      <c r="J202" s="1" t="s">
        <v>706</v>
      </c>
      <c r="K202" s="1" t="s">
        <v>35</v>
      </c>
      <c r="L202" t="s">
        <v>84</v>
      </c>
      <c r="M202" s="1" t="s">
        <v>45</v>
      </c>
      <c r="N202" s="3">
        <v>46153</v>
      </c>
      <c r="O202" s="1" t="s">
        <v>30</v>
      </c>
      <c r="P202" s="4">
        <v>21201</v>
      </c>
      <c r="Q202" s="5">
        <v>1</v>
      </c>
      <c r="R202" s="1" t="s">
        <v>38</v>
      </c>
      <c r="S202" s="5">
        <v>970</v>
      </c>
      <c r="T202" s="1" t="s">
        <v>39</v>
      </c>
      <c r="U202" s="4">
        <v>27478.62</v>
      </c>
      <c r="Y202" s="1" t="s">
        <v>58</v>
      </c>
      <c r="Z202" s="3">
        <v>46151</v>
      </c>
      <c r="AA202" s="1" t="s">
        <v>41</v>
      </c>
      <c r="AB202" s="1" t="s">
        <v>42</v>
      </c>
      <c r="AC202" t="b">
        <f t="shared" si="12"/>
        <v>0</v>
      </c>
      <c r="AD202" t="b">
        <f t="shared" si="13"/>
        <v>0</v>
      </c>
      <c r="AE202" t="b">
        <f t="shared" si="14"/>
        <v>0</v>
      </c>
      <c r="AF202" t="b">
        <f t="shared" si="15"/>
        <v>0</v>
      </c>
    </row>
    <row r="203" spans="1:32">
      <c r="A203" t="s">
        <v>867</v>
      </c>
      <c r="B203" s="1" t="s">
        <v>868</v>
      </c>
      <c r="C203" s="2">
        <v>46083.0611921296</v>
      </c>
      <c r="D203" s="1" t="s">
        <v>30</v>
      </c>
      <c r="E203" s="1" t="s">
        <v>869</v>
      </c>
      <c r="F203" s="1" t="s">
        <v>870</v>
      </c>
      <c r="G203" s="3">
        <v>46064</v>
      </c>
      <c r="H203" s="1" t="s">
        <v>871</v>
      </c>
      <c r="I203" s="1" t="s">
        <v>63</v>
      </c>
      <c r="J203" s="1" t="s">
        <v>35</v>
      </c>
      <c r="K203" s="1" t="s">
        <v>563</v>
      </c>
      <c r="L203" t="s">
        <v>870</v>
      </c>
      <c r="N203" s="3">
        <v>46064</v>
      </c>
      <c r="O203" s="1" t="s">
        <v>30</v>
      </c>
      <c r="P203" s="4">
        <v>21500</v>
      </c>
      <c r="Q203" s="5">
        <v>1</v>
      </c>
      <c r="R203" s="1" t="s">
        <v>65</v>
      </c>
      <c r="T203" s="1" t="s">
        <v>39</v>
      </c>
      <c r="U203" s="4">
        <v>26038.65</v>
      </c>
      <c r="V203" s="5">
        <v>2</v>
      </c>
      <c r="W203" s="5">
        <v>0</v>
      </c>
      <c r="Y203" s="1" t="s">
        <v>58</v>
      </c>
      <c r="Z203" s="3">
        <v>46064</v>
      </c>
      <c r="AA203" s="1" t="s">
        <v>41</v>
      </c>
      <c r="AB203" s="1" t="s">
        <v>42</v>
      </c>
      <c r="AC203" t="b">
        <f t="shared" si="12"/>
        <v>0</v>
      </c>
      <c r="AD203" t="b">
        <f t="shared" si="13"/>
        <v>0</v>
      </c>
      <c r="AE203" t="b">
        <f t="shared" si="14"/>
        <v>0</v>
      </c>
      <c r="AF203" t="b">
        <f t="shared" si="15"/>
        <v>0</v>
      </c>
    </row>
    <row r="204" spans="1:32">
      <c r="A204" t="s">
        <v>872</v>
      </c>
      <c r="B204" s="1" t="s">
        <v>873</v>
      </c>
      <c r="C204" s="2">
        <v>46181.523645833302</v>
      </c>
      <c r="D204" s="1" t="s">
        <v>30</v>
      </c>
      <c r="E204" s="1" t="s">
        <v>874</v>
      </c>
      <c r="F204" s="1" t="s">
        <v>430</v>
      </c>
      <c r="G204" s="3">
        <v>46178</v>
      </c>
      <c r="H204" s="1" t="s">
        <v>875</v>
      </c>
      <c r="I204" s="1" t="s">
        <v>63</v>
      </c>
      <c r="J204" s="1" t="s">
        <v>64</v>
      </c>
      <c r="K204" s="1" t="s">
        <v>35</v>
      </c>
      <c r="L204" t="s">
        <v>430</v>
      </c>
      <c r="M204" s="1" t="s">
        <v>45</v>
      </c>
      <c r="N204" s="3">
        <v>46181</v>
      </c>
      <c r="O204" s="1" t="s">
        <v>30</v>
      </c>
      <c r="P204" s="4">
        <v>21790</v>
      </c>
      <c r="Q204" s="5">
        <v>4</v>
      </c>
      <c r="R204" s="1" t="s">
        <v>38</v>
      </c>
      <c r="T204" s="1" t="s">
        <v>39</v>
      </c>
      <c r="U204" s="4">
        <v>27614.46</v>
      </c>
      <c r="V204" s="5">
        <v>0</v>
      </c>
      <c r="W204" s="5">
        <v>30</v>
      </c>
      <c r="Y204" s="1" t="s">
        <v>227</v>
      </c>
      <c r="Z204" s="3">
        <v>46178</v>
      </c>
      <c r="AA204" s="1" t="s">
        <v>41</v>
      </c>
      <c r="AB204" s="1" t="s">
        <v>42</v>
      </c>
      <c r="AC204" t="b">
        <f t="shared" si="12"/>
        <v>0</v>
      </c>
      <c r="AD204" t="b">
        <f t="shared" si="13"/>
        <v>0</v>
      </c>
      <c r="AE204" t="b">
        <f t="shared" si="14"/>
        <v>0</v>
      </c>
      <c r="AF204" t="b">
        <f t="shared" si="15"/>
        <v>0</v>
      </c>
    </row>
    <row r="205" spans="1:32">
      <c r="A205" t="s">
        <v>876</v>
      </c>
      <c r="B205" s="1" t="s">
        <v>877</v>
      </c>
      <c r="C205" s="2">
        <v>46155.317083333299</v>
      </c>
      <c r="D205" s="1" t="s">
        <v>30</v>
      </c>
      <c r="E205" s="1" t="s">
        <v>878</v>
      </c>
      <c r="F205" s="1" t="s">
        <v>200</v>
      </c>
      <c r="G205" s="3">
        <v>46155</v>
      </c>
      <c r="H205" s="1" t="s">
        <v>879</v>
      </c>
      <c r="I205" s="1" t="s">
        <v>63</v>
      </c>
      <c r="J205" s="1" t="s">
        <v>35</v>
      </c>
      <c r="K205" s="1" t="s">
        <v>244</v>
      </c>
      <c r="L205" t="s">
        <v>200</v>
      </c>
      <c r="M205" s="1" t="s">
        <v>45</v>
      </c>
      <c r="N205" s="3">
        <v>46155</v>
      </c>
      <c r="O205" s="1" t="s">
        <v>30</v>
      </c>
      <c r="P205" s="4">
        <v>22675</v>
      </c>
      <c r="Q205" s="5">
        <v>1</v>
      </c>
      <c r="R205" s="1" t="s">
        <v>38</v>
      </c>
      <c r="T205" s="1" t="s">
        <v>39</v>
      </c>
      <c r="U205" s="4">
        <v>29436.68</v>
      </c>
      <c r="V205" s="5">
        <v>0</v>
      </c>
      <c r="W205" s="5">
        <v>13120</v>
      </c>
      <c r="Y205" s="1" t="s">
        <v>40</v>
      </c>
      <c r="Z205" s="3">
        <v>46155</v>
      </c>
      <c r="AA205" s="1" t="s">
        <v>41</v>
      </c>
      <c r="AB205" s="1" t="s">
        <v>42</v>
      </c>
      <c r="AC205" t="b">
        <f t="shared" si="12"/>
        <v>0</v>
      </c>
      <c r="AD205" t="b">
        <f t="shared" si="13"/>
        <v>0</v>
      </c>
      <c r="AE205" t="b">
        <f t="shared" si="14"/>
        <v>0</v>
      </c>
      <c r="AF205" t="b">
        <f t="shared" si="15"/>
        <v>0</v>
      </c>
    </row>
    <row r="206" spans="1:32">
      <c r="A206" t="s">
        <v>880</v>
      </c>
      <c r="B206" s="1" t="s">
        <v>881</v>
      </c>
      <c r="C206" s="2">
        <v>46079.568009259303</v>
      </c>
      <c r="D206" s="1" t="s">
        <v>30</v>
      </c>
      <c r="E206" s="1" t="s">
        <v>882</v>
      </c>
      <c r="F206" s="1" t="s">
        <v>883</v>
      </c>
      <c r="G206" s="3">
        <v>46079</v>
      </c>
      <c r="H206" s="1" t="s">
        <v>884</v>
      </c>
      <c r="I206" s="1" t="s">
        <v>63</v>
      </c>
      <c r="J206" s="1" t="s">
        <v>35</v>
      </c>
      <c r="K206" s="1" t="s">
        <v>280</v>
      </c>
      <c r="L206" t="s">
        <v>883</v>
      </c>
      <c r="M206" s="1" t="s">
        <v>45</v>
      </c>
      <c r="N206" s="3">
        <v>46079</v>
      </c>
      <c r="O206" s="1" t="s">
        <v>30</v>
      </c>
      <c r="P206" s="4">
        <v>23490</v>
      </c>
      <c r="Q206" s="5">
        <v>15</v>
      </c>
      <c r="R206" s="1" t="s">
        <v>38</v>
      </c>
      <c r="T206" s="1" t="s">
        <v>39</v>
      </c>
      <c r="U206" s="4">
        <v>29057.13</v>
      </c>
      <c r="V206" s="5">
        <v>45</v>
      </c>
      <c r="W206" s="5">
        <v>0</v>
      </c>
      <c r="Y206" s="1" t="s">
        <v>72</v>
      </c>
      <c r="Z206" s="3">
        <v>46079</v>
      </c>
      <c r="AA206" s="1" t="s">
        <v>41</v>
      </c>
      <c r="AB206" s="1" t="s">
        <v>42</v>
      </c>
      <c r="AC206" t="b">
        <f t="shared" si="12"/>
        <v>1</v>
      </c>
      <c r="AD206" t="b">
        <f t="shared" si="13"/>
        <v>0</v>
      </c>
      <c r="AE206" t="b">
        <f t="shared" si="14"/>
        <v>0</v>
      </c>
      <c r="AF206" t="b">
        <f t="shared" si="15"/>
        <v>0</v>
      </c>
    </row>
    <row r="207" spans="1:32">
      <c r="A207" t="s">
        <v>885</v>
      </c>
      <c r="B207" s="1" t="s">
        <v>886</v>
      </c>
      <c r="C207" s="2">
        <v>46160.526851851799</v>
      </c>
      <c r="D207" s="1" t="s">
        <v>30</v>
      </c>
      <c r="E207" s="1" t="s">
        <v>199</v>
      </c>
      <c r="F207" s="1" t="s">
        <v>200</v>
      </c>
      <c r="G207" s="3">
        <v>46160</v>
      </c>
      <c r="H207" s="1" t="s">
        <v>887</v>
      </c>
      <c r="I207" s="1" t="s">
        <v>63</v>
      </c>
      <c r="J207" s="1" t="s">
        <v>35</v>
      </c>
      <c r="K207" s="1" t="s">
        <v>280</v>
      </c>
      <c r="L207" t="s">
        <v>200</v>
      </c>
      <c r="M207" s="1" t="s">
        <v>37</v>
      </c>
      <c r="N207" s="3">
        <v>46160</v>
      </c>
      <c r="O207" s="1" t="s">
        <v>30</v>
      </c>
      <c r="P207" s="4">
        <v>23710</v>
      </c>
      <c r="Q207" s="5">
        <v>1</v>
      </c>
      <c r="R207" s="1" t="s">
        <v>38</v>
      </c>
      <c r="T207" s="1" t="s">
        <v>39</v>
      </c>
      <c r="U207" s="4">
        <v>30896.51</v>
      </c>
      <c r="V207" s="5">
        <v>4</v>
      </c>
      <c r="W207" s="5">
        <v>0</v>
      </c>
      <c r="Y207" s="1" t="s">
        <v>40</v>
      </c>
      <c r="Z207" s="3">
        <v>46160</v>
      </c>
      <c r="AA207" s="1" t="s">
        <v>41</v>
      </c>
      <c r="AB207" s="1" t="s">
        <v>208</v>
      </c>
      <c r="AC207" t="b">
        <f t="shared" si="12"/>
        <v>0</v>
      </c>
      <c r="AD207" t="b">
        <f t="shared" si="13"/>
        <v>0</v>
      </c>
      <c r="AE207" t="b">
        <f t="shared" si="14"/>
        <v>0</v>
      </c>
      <c r="AF207" t="b">
        <f t="shared" si="15"/>
        <v>0</v>
      </c>
    </row>
    <row r="208" spans="1:32">
      <c r="A208" t="s">
        <v>888</v>
      </c>
      <c r="B208" s="1" t="s">
        <v>889</v>
      </c>
      <c r="C208" s="2">
        <v>46178.804745370398</v>
      </c>
      <c r="D208" s="1" t="s">
        <v>30</v>
      </c>
      <c r="E208" s="1" t="s">
        <v>503</v>
      </c>
      <c r="F208" s="1" t="s">
        <v>504</v>
      </c>
      <c r="H208" s="1" t="s">
        <v>890</v>
      </c>
      <c r="I208" s="1" t="s">
        <v>34</v>
      </c>
      <c r="J208" s="1" t="s">
        <v>891</v>
      </c>
      <c r="K208" s="1" t="s">
        <v>35</v>
      </c>
      <c r="L208" t="s">
        <v>504</v>
      </c>
      <c r="M208" s="1" t="s">
        <v>45</v>
      </c>
      <c r="O208" s="1" t="s">
        <v>30</v>
      </c>
      <c r="P208" s="4">
        <v>23922.73</v>
      </c>
      <c r="Q208" s="5">
        <v>16</v>
      </c>
      <c r="S208" s="5">
        <v>888</v>
      </c>
      <c r="T208" s="1" t="s">
        <v>39</v>
      </c>
      <c r="U208" s="4">
        <v>30317.27</v>
      </c>
      <c r="Y208" s="1" t="s">
        <v>115</v>
      </c>
      <c r="Z208" s="3">
        <v>46263</v>
      </c>
      <c r="AA208" s="1" t="s">
        <v>506</v>
      </c>
      <c r="AB208" s="1" t="s">
        <v>507</v>
      </c>
      <c r="AC208" t="b">
        <f t="shared" si="12"/>
        <v>0</v>
      </c>
      <c r="AD208" t="b">
        <f t="shared" si="13"/>
        <v>0</v>
      </c>
      <c r="AE208" t="b">
        <f t="shared" si="14"/>
        <v>0</v>
      </c>
      <c r="AF208" t="b">
        <f t="shared" si="15"/>
        <v>0</v>
      </c>
    </row>
    <row r="209" spans="1:32">
      <c r="A209" t="s">
        <v>892</v>
      </c>
      <c r="B209" s="1" t="s">
        <v>893</v>
      </c>
      <c r="C209" s="2">
        <v>46042.575393518498</v>
      </c>
      <c r="D209" s="1" t="s">
        <v>30</v>
      </c>
      <c r="E209" s="1" t="s">
        <v>894</v>
      </c>
      <c r="F209" s="1" t="s">
        <v>224</v>
      </c>
      <c r="G209" s="3">
        <v>46042</v>
      </c>
      <c r="H209" s="1" t="s">
        <v>895</v>
      </c>
      <c r="I209" s="1" t="s">
        <v>97</v>
      </c>
      <c r="J209" s="1" t="s">
        <v>35</v>
      </c>
      <c r="K209" s="1" t="s">
        <v>831</v>
      </c>
      <c r="L209" t="s">
        <v>224</v>
      </c>
      <c r="M209" s="1" t="s">
        <v>37</v>
      </c>
      <c r="N209" s="3">
        <v>46042</v>
      </c>
      <c r="O209" s="1" t="s">
        <v>30</v>
      </c>
      <c r="P209" s="4">
        <v>24000</v>
      </c>
      <c r="Q209" s="5">
        <v>1</v>
      </c>
      <c r="R209" s="1" t="s">
        <v>38</v>
      </c>
      <c r="T209" s="1" t="s">
        <v>39</v>
      </c>
      <c r="U209" s="4">
        <v>28723.19</v>
      </c>
      <c r="Y209" s="1" t="s">
        <v>227</v>
      </c>
      <c r="Z209" s="3">
        <v>46042</v>
      </c>
      <c r="AA209" s="1" t="s">
        <v>41</v>
      </c>
      <c r="AB209" s="1" t="s">
        <v>42</v>
      </c>
      <c r="AC209" t="b">
        <f t="shared" si="12"/>
        <v>0</v>
      </c>
      <c r="AD209" t="b">
        <f t="shared" si="13"/>
        <v>0</v>
      </c>
      <c r="AE209" t="b">
        <f t="shared" si="14"/>
        <v>0</v>
      </c>
      <c r="AF209" t="b">
        <f t="shared" si="15"/>
        <v>0</v>
      </c>
    </row>
    <row r="210" spans="1:32">
      <c r="A210" t="s">
        <v>896</v>
      </c>
      <c r="B210" s="1" t="s">
        <v>897</v>
      </c>
      <c r="C210" s="2">
        <v>46160.713020833296</v>
      </c>
      <c r="D210" s="1" t="s">
        <v>30</v>
      </c>
      <c r="E210" s="1" t="s">
        <v>54</v>
      </c>
      <c r="F210" s="1" t="s">
        <v>55</v>
      </c>
      <c r="G210" s="3">
        <v>46252</v>
      </c>
      <c r="H210" s="1" t="s">
        <v>898</v>
      </c>
      <c r="I210" s="1" t="s">
        <v>34</v>
      </c>
      <c r="J210" s="1" t="s">
        <v>64</v>
      </c>
      <c r="K210" s="1" t="s">
        <v>35</v>
      </c>
      <c r="L210" t="s">
        <v>55</v>
      </c>
      <c r="M210" s="1" t="s">
        <v>45</v>
      </c>
      <c r="N210" s="3">
        <v>46160</v>
      </c>
      <c r="O210" s="1" t="s">
        <v>30</v>
      </c>
      <c r="P210" s="4">
        <v>24040</v>
      </c>
      <c r="Q210" s="5">
        <v>1</v>
      </c>
      <c r="R210" s="1" t="s">
        <v>38</v>
      </c>
      <c r="S210" s="5">
        <v>275</v>
      </c>
      <c r="T210" s="1" t="s">
        <v>39</v>
      </c>
      <c r="U210" s="4">
        <v>30605.33</v>
      </c>
      <c r="Y210" s="1" t="s">
        <v>58</v>
      </c>
      <c r="Z210" s="3">
        <v>46252</v>
      </c>
      <c r="AA210" s="1" t="s">
        <v>41</v>
      </c>
      <c r="AB210" s="1" t="s">
        <v>42</v>
      </c>
      <c r="AC210" t="b">
        <f t="shared" si="12"/>
        <v>0</v>
      </c>
      <c r="AD210" t="b">
        <f t="shared" si="13"/>
        <v>0</v>
      </c>
      <c r="AE210" t="b">
        <f t="shared" si="14"/>
        <v>0</v>
      </c>
      <c r="AF210" t="b">
        <f t="shared" si="15"/>
        <v>0</v>
      </c>
    </row>
    <row r="211" spans="1:32">
      <c r="A211" t="s">
        <v>899</v>
      </c>
      <c r="B211" s="1" t="s">
        <v>900</v>
      </c>
      <c r="C211" s="2">
        <v>46120.812013888899</v>
      </c>
      <c r="D211" s="1" t="s">
        <v>30</v>
      </c>
      <c r="E211" s="1" t="s">
        <v>299</v>
      </c>
      <c r="F211" s="1" t="s">
        <v>300</v>
      </c>
      <c r="G211" s="3">
        <v>46142</v>
      </c>
      <c r="H211" s="1" t="s">
        <v>301</v>
      </c>
      <c r="I211" s="1" t="s">
        <v>34</v>
      </c>
      <c r="J211" s="1" t="s">
        <v>64</v>
      </c>
      <c r="K211" s="1" t="s">
        <v>35</v>
      </c>
      <c r="L211" t="s">
        <v>300</v>
      </c>
      <c r="M211" s="1" t="s">
        <v>37</v>
      </c>
      <c r="N211" s="3">
        <v>46120</v>
      </c>
      <c r="O211" s="1" t="s">
        <v>30</v>
      </c>
      <c r="P211" s="4">
        <v>24957</v>
      </c>
      <c r="Q211" s="5">
        <v>12</v>
      </c>
      <c r="R211" s="1" t="s">
        <v>38</v>
      </c>
      <c r="S211" s="5">
        <v>1519</v>
      </c>
      <c r="T211" s="1" t="s">
        <v>39</v>
      </c>
      <c r="U211" s="4">
        <v>31286.11</v>
      </c>
      <c r="Y211" s="1" t="s">
        <v>58</v>
      </c>
      <c r="Z211" s="3">
        <v>46142</v>
      </c>
      <c r="AA211" s="1" t="s">
        <v>41</v>
      </c>
      <c r="AB211" s="1" t="s">
        <v>208</v>
      </c>
      <c r="AC211" t="b">
        <f t="shared" si="12"/>
        <v>1</v>
      </c>
      <c r="AD211" t="b">
        <f t="shared" si="13"/>
        <v>0</v>
      </c>
      <c r="AE211" t="b">
        <f t="shared" si="14"/>
        <v>0</v>
      </c>
      <c r="AF211" t="b">
        <f t="shared" si="15"/>
        <v>0</v>
      </c>
    </row>
    <row r="212" spans="1:32">
      <c r="A212" t="s">
        <v>901</v>
      </c>
      <c r="B212" s="1" t="s">
        <v>902</v>
      </c>
      <c r="C212" s="2">
        <v>46051.797604166699</v>
      </c>
      <c r="D212" s="1" t="s">
        <v>30</v>
      </c>
      <c r="E212" s="1" t="s">
        <v>903</v>
      </c>
      <c r="F212" s="1" t="s">
        <v>810</v>
      </c>
      <c r="G212" s="3">
        <v>46051</v>
      </c>
      <c r="H212" s="1" t="s">
        <v>904</v>
      </c>
      <c r="I212" s="1" t="s">
        <v>34</v>
      </c>
      <c r="J212" s="1" t="s">
        <v>315</v>
      </c>
      <c r="K212" s="1" t="s">
        <v>35</v>
      </c>
      <c r="L212" t="s">
        <v>810</v>
      </c>
      <c r="N212" s="3">
        <v>46051</v>
      </c>
      <c r="O212" s="1" t="s">
        <v>30</v>
      </c>
      <c r="P212" s="4">
        <v>25000</v>
      </c>
      <c r="Q212" s="5">
        <v>2</v>
      </c>
      <c r="R212" s="1" t="s">
        <v>38</v>
      </c>
      <c r="S212" s="5">
        <v>600</v>
      </c>
      <c r="T212" s="1" t="s">
        <v>39</v>
      </c>
      <c r="U212" s="4">
        <v>30054.99</v>
      </c>
      <c r="Y212" s="1" t="s">
        <v>40</v>
      </c>
      <c r="Z212" s="3">
        <v>46051</v>
      </c>
      <c r="AA212" s="1" t="s">
        <v>41</v>
      </c>
      <c r="AB212" s="1" t="s">
        <v>42</v>
      </c>
      <c r="AC212" t="b">
        <f t="shared" si="12"/>
        <v>0</v>
      </c>
      <c r="AD212" t="b">
        <f t="shared" si="13"/>
        <v>0</v>
      </c>
      <c r="AE212" t="b">
        <f t="shared" si="14"/>
        <v>0</v>
      </c>
      <c r="AF212" t="b">
        <f t="shared" si="15"/>
        <v>0</v>
      </c>
    </row>
    <row r="213" spans="1:32">
      <c r="A213" t="s">
        <v>905</v>
      </c>
      <c r="B213" s="1" t="s">
        <v>906</v>
      </c>
      <c r="C213" s="2">
        <v>46104.861365740697</v>
      </c>
      <c r="D213" s="1" t="s">
        <v>30</v>
      </c>
      <c r="E213" s="1" t="s">
        <v>593</v>
      </c>
      <c r="F213" s="1" t="s">
        <v>387</v>
      </c>
      <c r="G213" s="3">
        <v>46105</v>
      </c>
      <c r="H213" s="1" t="s">
        <v>907</v>
      </c>
      <c r="I213" s="1" t="s">
        <v>63</v>
      </c>
      <c r="J213" s="1" t="s">
        <v>35</v>
      </c>
      <c r="K213" s="1" t="s">
        <v>647</v>
      </c>
      <c r="L213" t="s">
        <v>387</v>
      </c>
      <c r="N213" s="3">
        <v>46104</v>
      </c>
      <c r="O213" s="1" t="s">
        <v>30</v>
      </c>
      <c r="P213" s="4">
        <v>25000</v>
      </c>
      <c r="Q213" s="5">
        <v>8</v>
      </c>
      <c r="R213" s="1" t="s">
        <v>38</v>
      </c>
      <c r="T213" s="1" t="s">
        <v>39</v>
      </c>
      <c r="U213" s="4">
        <v>30589.99</v>
      </c>
      <c r="V213" s="5">
        <v>2</v>
      </c>
      <c r="W213" s="5">
        <v>68</v>
      </c>
      <c r="Y213" s="1" t="s">
        <v>58</v>
      </c>
      <c r="Z213" s="3">
        <v>46105</v>
      </c>
      <c r="AA213" s="1" t="s">
        <v>41</v>
      </c>
      <c r="AB213" s="1" t="s">
        <v>42</v>
      </c>
      <c r="AC213" t="b">
        <f t="shared" si="12"/>
        <v>0</v>
      </c>
      <c r="AD213" t="b">
        <f t="shared" si="13"/>
        <v>0</v>
      </c>
      <c r="AE213" t="b">
        <f t="shared" si="14"/>
        <v>0</v>
      </c>
      <c r="AF213" t="b">
        <f t="shared" si="15"/>
        <v>0</v>
      </c>
    </row>
    <row r="214" spans="1:32">
      <c r="A214" t="s">
        <v>908</v>
      </c>
      <c r="B214" s="1" t="s">
        <v>909</v>
      </c>
      <c r="C214" s="2">
        <v>46171.771678240701</v>
      </c>
      <c r="D214" s="1" t="s">
        <v>30</v>
      </c>
      <c r="E214" s="1" t="s">
        <v>327</v>
      </c>
      <c r="F214" s="1" t="s">
        <v>328</v>
      </c>
      <c r="G214" s="3">
        <v>46171</v>
      </c>
      <c r="H214" s="1" t="s">
        <v>910</v>
      </c>
      <c r="I214" s="1" t="s">
        <v>63</v>
      </c>
      <c r="J214" s="1" t="s">
        <v>244</v>
      </c>
      <c r="K214" s="1" t="s">
        <v>35</v>
      </c>
      <c r="L214" t="s">
        <v>328</v>
      </c>
      <c r="M214" s="1" t="s">
        <v>45</v>
      </c>
      <c r="N214" s="3">
        <v>46171</v>
      </c>
      <c r="O214" s="1" t="s">
        <v>30</v>
      </c>
      <c r="P214" s="4">
        <v>25000</v>
      </c>
      <c r="Q214" s="5">
        <v>10</v>
      </c>
      <c r="R214" s="1" t="s">
        <v>38</v>
      </c>
      <c r="T214" s="1" t="s">
        <v>39</v>
      </c>
      <c r="U214" s="4">
        <v>31799.99</v>
      </c>
      <c r="V214" s="5">
        <v>0</v>
      </c>
      <c r="W214" s="5">
        <v>20</v>
      </c>
      <c r="Y214" s="1" t="s">
        <v>72</v>
      </c>
      <c r="Z214" s="3">
        <v>46171</v>
      </c>
      <c r="AA214" s="1" t="s">
        <v>41</v>
      </c>
      <c r="AB214" s="1" t="s">
        <v>42</v>
      </c>
      <c r="AC214" t="b">
        <f t="shared" si="12"/>
        <v>0</v>
      </c>
      <c r="AD214" t="b">
        <f t="shared" si="13"/>
        <v>0</v>
      </c>
      <c r="AE214" t="b">
        <f t="shared" si="14"/>
        <v>0</v>
      </c>
      <c r="AF214" t="b">
        <f t="shared" si="15"/>
        <v>0</v>
      </c>
    </row>
    <row r="215" spans="1:32">
      <c r="A215" t="s">
        <v>911</v>
      </c>
      <c r="B215" s="1" t="s">
        <v>912</v>
      </c>
      <c r="C215" s="2">
        <v>46162.794432870403</v>
      </c>
      <c r="D215" s="1" t="s">
        <v>30</v>
      </c>
      <c r="E215" s="1" t="s">
        <v>913</v>
      </c>
      <c r="F215" s="1" t="s">
        <v>49</v>
      </c>
      <c r="G215" s="3">
        <v>46162</v>
      </c>
      <c r="H215" s="1" t="s">
        <v>914</v>
      </c>
      <c r="I215" s="1" t="s">
        <v>63</v>
      </c>
      <c r="J215" s="1" t="s">
        <v>136</v>
      </c>
      <c r="K215" s="1" t="s">
        <v>35</v>
      </c>
      <c r="L215" t="s">
        <v>49</v>
      </c>
      <c r="N215" s="3">
        <v>46162</v>
      </c>
      <c r="O215" s="1" t="s">
        <v>30</v>
      </c>
      <c r="P215" s="4">
        <v>25100</v>
      </c>
      <c r="Q215" s="5">
        <v>1</v>
      </c>
      <c r="R215" s="1" t="s">
        <v>38</v>
      </c>
      <c r="T215" s="1" t="s">
        <v>39</v>
      </c>
      <c r="U215" s="4">
        <v>32155.61</v>
      </c>
      <c r="V215" s="5">
        <v>1</v>
      </c>
      <c r="W215" s="5">
        <v>0</v>
      </c>
      <c r="Y215" s="1" t="s">
        <v>51</v>
      </c>
      <c r="Z215" s="3">
        <v>46162</v>
      </c>
      <c r="AA215" s="1" t="s">
        <v>41</v>
      </c>
      <c r="AB215" s="1" t="s">
        <v>42</v>
      </c>
      <c r="AC215" t="b">
        <f t="shared" si="12"/>
        <v>0</v>
      </c>
      <c r="AD215" t="b">
        <f t="shared" si="13"/>
        <v>0</v>
      </c>
      <c r="AE215" t="b">
        <f t="shared" si="14"/>
        <v>0</v>
      </c>
      <c r="AF215" t="b">
        <f t="shared" si="15"/>
        <v>0</v>
      </c>
    </row>
    <row r="216" spans="1:32">
      <c r="A216" t="s">
        <v>915</v>
      </c>
      <c r="B216" s="1" t="s">
        <v>916</v>
      </c>
      <c r="C216" s="2">
        <v>46164.835636574098</v>
      </c>
      <c r="D216" s="1" t="s">
        <v>30</v>
      </c>
      <c r="E216" s="1" t="s">
        <v>218</v>
      </c>
      <c r="F216" s="1" t="s">
        <v>101</v>
      </c>
      <c r="G216" s="3">
        <v>46164</v>
      </c>
      <c r="H216" s="1" t="s">
        <v>917</v>
      </c>
      <c r="I216" s="1" t="s">
        <v>34</v>
      </c>
      <c r="J216" s="1" t="s">
        <v>35</v>
      </c>
      <c r="K216" s="1" t="s">
        <v>563</v>
      </c>
      <c r="L216" t="s">
        <v>101</v>
      </c>
      <c r="N216" s="3">
        <v>46164</v>
      </c>
      <c r="O216" s="1" t="s">
        <v>30</v>
      </c>
      <c r="P216" s="4">
        <v>25484</v>
      </c>
      <c r="Q216" s="5">
        <v>1</v>
      </c>
      <c r="R216" s="1" t="s">
        <v>38</v>
      </c>
      <c r="S216" s="5">
        <v>6340</v>
      </c>
      <c r="T216" s="1" t="s">
        <v>39</v>
      </c>
      <c r="U216" s="4">
        <v>32774.959999999999</v>
      </c>
      <c r="Y216" s="1" t="s">
        <v>72</v>
      </c>
      <c r="Z216" s="3">
        <v>46164</v>
      </c>
      <c r="AA216" s="1" t="s">
        <v>41</v>
      </c>
      <c r="AB216" s="1" t="s">
        <v>42</v>
      </c>
      <c r="AC216" t="b">
        <f t="shared" si="12"/>
        <v>0</v>
      </c>
      <c r="AD216" t="b">
        <f t="shared" si="13"/>
        <v>0</v>
      </c>
      <c r="AE216" t="b">
        <f t="shared" si="14"/>
        <v>0</v>
      </c>
      <c r="AF216" t="b">
        <f t="shared" si="15"/>
        <v>0</v>
      </c>
    </row>
    <row r="217" spans="1:32">
      <c r="A217" t="s">
        <v>918</v>
      </c>
      <c r="B217" s="1" t="s">
        <v>919</v>
      </c>
      <c r="C217" s="2">
        <v>46099.894733796304</v>
      </c>
      <c r="D217" s="1" t="s">
        <v>30</v>
      </c>
      <c r="E217" s="1" t="s">
        <v>920</v>
      </c>
      <c r="F217" s="1" t="s">
        <v>266</v>
      </c>
      <c r="G217" s="3">
        <v>46099</v>
      </c>
      <c r="H217" s="1" t="s">
        <v>921</v>
      </c>
      <c r="I217" s="1" t="s">
        <v>34</v>
      </c>
      <c r="J217" s="1" t="s">
        <v>922</v>
      </c>
      <c r="K217" s="1" t="s">
        <v>35</v>
      </c>
      <c r="L217" t="s">
        <v>266</v>
      </c>
      <c r="N217" s="3">
        <v>46099</v>
      </c>
      <c r="O217" s="1" t="s">
        <v>30</v>
      </c>
      <c r="P217" s="4">
        <v>27000</v>
      </c>
      <c r="Q217" s="5">
        <v>1</v>
      </c>
      <c r="R217" s="1" t="s">
        <v>38</v>
      </c>
      <c r="S217" s="5">
        <v>580</v>
      </c>
      <c r="T217" s="1" t="s">
        <v>39</v>
      </c>
      <c r="U217" s="4">
        <v>33531.29</v>
      </c>
      <c r="Y217" s="1" t="s">
        <v>72</v>
      </c>
      <c r="Z217" s="3">
        <v>46099</v>
      </c>
      <c r="AA217" s="1" t="s">
        <v>41</v>
      </c>
      <c r="AB217" s="1" t="s">
        <v>42</v>
      </c>
      <c r="AC217" t="b">
        <f t="shared" si="12"/>
        <v>0</v>
      </c>
      <c r="AD217" t="b">
        <f t="shared" si="13"/>
        <v>0</v>
      </c>
      <c r="AE217" t="b">
        <f t="shared" si="14"/>
        <v>0</v>
      </c>
      <c r="AF217" t="b">
        <f t="shared" si="15"/>
        <v>0</v>
      </c>
    </row>
    <row r="218" spans="1:32">
      <c r="A218" t="s">
        <v>923</v>
      </c>
      <c r="B218" s="1" t="s">
        <v>924</v>
      </c>
      <c r="C218" s="2">
        <v>46182.724837962996</v>
      </c>
      <c r="D218" s="1" t="s">
        <v>30</v>
      </c>
      <c r="E218" s="1" t="s">
        <v>925</v>
      </c>
      <c r="F218" s="1" t="s">
        <v>348</v>
      </c>
      <c r="G218" s="3">
        <v>46182</v>
      </c>
      <c r="H218" s="1" t="s">
        <v>926</v>
      </c>
      <c r="I218" s="1" t="s">
        <v>63</v>
      </c>
      <c r="J218" s="1" t="s">
        <v>35</v>
      </c>
      <c r="K218" s="1" t="s">
        <v>211</v>
      </c>
      <c r="L218" t="s">
        <v>348</v>
      </c>
      <c r="M218" s="1" t="s">
        <v>37</v>
      </c>
      <c r="N218" s="3">
        <v>46182</v>
      </c>
      <c r="O218" s="1" t="s">
        <v>30</v>
      </c>
      <c r="P218" s="4">
        <v>28000</v>
      </c>
      <c r="Q218" s="5">
        <v>1</v>
      </c>
      <c r="R218" s="1" t="s">
        <v>38</v>
      </c>
      <c r="T218" s="1" t="s">
        <v>39</v>
      </c>
      <c r="U218" s="4">
        <v>35033.599999999999</v>
      </c>
      <c r="V218" s="5">
        <v>2</v>
      </c>
      <c r="W218" s="5">
        <v>0</v>
      </c>
      <c r="Y218" s="1" t="s">
        <v>227</v>
      </c>
      <c r="Z218" s="3">
        <v>46182</v>
      </c>
      <c r="AA218" s="1" t="s">
        <v>41</v>
      </c>
      <c r="AB218" s="1" t="s">
        <v>42</v>
      </c>
      <c r="AC218" t="b">
        <f t="shared" si="12"/>
        <v>0</v>
      </c>
      <c r="AD218" t="b">
        <f t="shared" si="13"/>
        <v>0</v>
      </c>
      <c r="AE218" t="b">
        <f t="shared" si="14"/>
        <v>0</v>
      </c>
      <c r="AF218" t="b">
        <f t="shared" si="15"/>
        <v>0</v>
      </c>
    </row>
    <row r="219" spans="1:32">
      <c r="A219" t="s">
        <v>927</v>
      </c>
      <c r="B219" s="1" t="s">
        <v>928</v>
      </c>
      <c r="C219" s="2">
        <v>46120.812025462998</v>
      </c>
      <c r="D219" s="1" t="s">
        <v>30</v>
      </c>
      <c r="E219" s="1" t="s">
        <v>299</v>
      </c>
      <c r="F219" s="1" t="s">
        <v>300</v>
      </c>
      <c r="G219" s="3">
        <v>46142</v>
      </c>
      <c r="H219" s="1" t="s">
        <v>301</v>
      </c>
      <c r="I219" s="1" t="s">
        <v>34</v>
      </c>
      <c r="J219" s="1" t="s">
        <v>108</v>
      </c>
      <c r="K219" s="1" t="s">
        <v>35</v>
      </c>
      <c r="L219" t="s">
        <v>300</v>
      </c>
      <c r="M219" s="1" t="s">
        <v>37</v>
      </c>
      <c r="N219" s="3">
        <v>46120</v>
      </c>
      <c r="O219" s="1" t="s">
        <v>30</v>
      </c>
      <c r="P219" s="4">
        <v>28473</v>
      </c>
      <c r="Q219" s="5">
        <v>7</v>
      </c>
      <c r="R219" s="1" t="s">
        <v>65</v>
      </c>
      <c r="S219" s="5">
        <v>1733</v>
      </c>
      <c r="T219" s="1" t="s">
        <v>39</v>
      </c>
      <c r="U219" s="4">
        <v>35693.769999999997</v>
      </c>
      <c r="Y219" s="1" t="s">
        <v>58</v>
      </c>
      <c r="Z219" s="3">
        <v>46142</v>
      </c>
      <c r="AA219" s="1" t="s">
        <v>41</v>
      </c>
      <c r="AB219" s="1" t="s">
        <v>208</v>
      </c>
      <c r="AC219" t="b">
        <f t="shared" si="12"/>
        <v>1</v>
      </c>
      <c r="AD219" t="b">
        <f t="shared" si="13"/>
        <v>0</v>
      </c>
      <c r="AE219" t="b">
        <f t="shared" si="14"/>
        <v>0</v>
      </c>
      <c r="AF219" t="b">
        <f t="shared" si="15"/>
        <v>0</v>
      </c>
    </row>
    <row r="220" spans="1:32">
      <c r="A220" t="s">
        <v>929</v>
      </c>
      <c r="B220" s="1" t="s">
        <v>930</v>
      </c>
      <c r="C220" s="2">
        <v>46140.914456018501</v>
      </c>
      <c r="D220" s="1" t="s">
        <v>30</v>
      </c>
      <c r="E220" s="1" t="s">
        <v>931</v>
      </c>
      <c r="F220" s="1" t="s">
        <v>200</v>
      </c>
      <c r="G220" s="3">
        <v>46140</v>
      </c>
      <c r="H220" s="1" t="s">
        <v>932</v>
      </c>
      <c r="I220" s="1" t="s">
        <v>34</v>
      </c>
      <c r="J220" s="1" t="s">
        <v>35</v>
      </c>
      <c r="K220" s="1" t="s">
        <v>57</v>
      </c>
      <c r="L220" t="s">
        <v>200</v>
      </c>
      <c r="M220" s="1" t="s">
        <v>45</v>
      </c>
      <c r="N220" s="3">
        <v>46140</v>
      </c>
      <c r="O220" s="1" t="s">
        <v>30</v>
      </c>
      <c r="P220" s="4">
        <v>29400</v>
      </c>
      <c r="Q220" s="5">
        <v>1</v>
      </c>
      <c r="R220" s="1" t="s">
        <v>38</v>
      </c>
      <c r="S220" s="5">
        <v>5880</v>
      </c>
      <c r="T220" s="1" t="s">
        <v>39</v>
      </c>
      <c r="U220" s="4">
        <v>37561.440000000002</v>
      </c>
      <c r="Y220" s="1" t="s">
        <v>40</v>
      </c>
      <c r="Z220" s="3">
        <v>46140</v>
      </c>
      <c r="AA220" s="1" t="s">
        <v>41</v>
      </c>
      <c r="AB220" s="1" t="s">
        <v>208</v>
      </c>
      <c r="AC220" t="b">
        <f t="shared" si="12"/>
        <v>0</v>
      </c>
      <c r="AD220" t="b">
        <f t="shared" si="13"/>
        <v>0</v>
      </c>
      <c r="AE220" t="b">
        <f t="shared" si="14"/>
        <v>0</v>
      </c>
      <c r="AF220" t="b">
        <f t="shared" si="15"/>
        <v>0</v>
      </c>
    </row>
    <row r="221" spans="1:32">
      <c r="A221" t="s">
        <v>933</v>
      </c>
      <c r="B221" s="1" t="s">
        <v>934</v>
      </c>
      <c r="C221" s="2">
        <v>46148.776527777802</v>
      </c>
      <c r="D221" s="1" t="s">
        <v>30</v>
      </c>
      <c r="E221" s="1" t="s">
        <v>557</v>
      </c>
      <c r="F221" s="1" t="s">
        <v>460</v>
      </c>
      <c r="G221" s="3">
        <v>46148</v>
      </c>
      <c r="H221" s="1" t="s">
        <v>935</v>
      </c>
      <c r="I221" s="1" t="s">
        <v>34</v>
      </c>
      <c r="J221" s="1" t="s">
        <v>144</v>
      </c>
      <c r="K221" s="1" t="s">
        <v>91</v>
      </c>
      <c r="L221" t="s">
        <v>460</v>
      </c>
      <c r="M221" s="1" t="s">
        <v>45</v>
      </c>
      <c r="N221" s="3">
        <v>46148</v>
      </c>
      <c r="O221" s="1" t="s">
        <v>30</v>
      </c>
      <c r="P221" s="4">
        <v>29945</v>
      </c>
      <c r="Q221" s="5">
        <v>1</v>
      </c>
      <c r="R221" s="1" t="s">
        <v>38</v>
      </c>
      <c r="S221" s="5">
        <v>926</v>
      </c>
      <c r="T221" s="1" t="s">
        <v>39</v>
      </c>
      <c r="U221" s="4">
        <v>38856.639999999999</v>
      </c>
      <c r="Y221" s="1" t="s">
        <v>227</v>
      </c>
      <c r="Z221" s="3">
        <v>46148</v>
      </c>
      <c r="AA221" s="1" t="s">
        <v>41</v>
      </c>
      <c r="AB221" s="1" t="s">
        <v>42</v>
      </c>
      <c r="AC221" t="b">
        <f t="shared" si="12"/>
        <v>0</v>
      </c>
      <c r="AD221" t="b">
        <f t="shared" si="13"/>
        <v>0</v>
      </c>
      <c r="AE221" t="b">
        <f t="shared" si="14"/>
        <v>0</v>
      </c>
      <c r="AF221" t="b">
        <f t="shared" si="15"/>
        <v>0</v>
      </c>
    </row>
    <row r="222" spans="1:32">
      <c r="A222" t="s">
        <v>936</v>
      </c>
      <c r="B222" s="1" t="s">
        <v>937</v>
      </c>
      <c r="C222" s="2">
        <v>46167.579212962999</v>
      </c>
      <c r="D222" s="1" t="s">
        <v>30</v>
      </c>
      <c r="E222" s="1" t="s">
        <v>938</v>
      </c>
      <c r="F222" s="1" t="s">
        <v>443</v>
      </c>
      <c r="H222" s="1" t="s">
        <v>939</v>
      </c>
      <c r="I222" s="1" t="s">
        <v>34</v>
      </c>
      <c r="J222" s="1" t="s">
        <v>202</v>
      </c>
      <c r="K222" s="1" t="s">
        <v>35</v>
      </c>
      <c r="L222" t="s">
        <v>443</v>
      </c>
      <c r="O222" s="1" t="s">
        <v>30</v>
      </c>
      <c r="P222" s="4">
        <v>30000</v>
      </c>
      <c r="Q222" s="5">
        <v>1</v>
      </c>
      <c r="S222" s="5">
        <v>1800</v>
      </c>
      <c r="T222" s="1" t="s">
        <v>39</v>
      </c>
      <c r="U222" s="4">
        <v>36942</v>
      </c>
      <c r="Y222" s="1" t="s">
        <v>72</v>
      </c>
      <c r="Z222" s="3">
        <v>46203</v>
      </c>
      <c r="AA222" s="1" t="s">
        <v>237</v>
      </c>
      <c r="AB222" s="1" t="s">
        <v>238</v>
      </c>
      <c r="AC222" t="b">
        <f t="shared" si="12"/>
        <v>0</v>
      </c>
      <c r="AD222" t="b">
        <f t="shared" si="13"/>
        <v>0</v>
      </c>
      <c r="AE222" t="b">
        <f t="shared" si="14"/>
        <v>0</v>
      </c>
      <c r="AF222" t="b">
        <f t="shared" si="15"/>
        <v>0</v>
      </c>
    </row>
    <row r="223" spans="1:32">
      <c r="A223" t="s">
        <v>940</v>
      </c>
      <c r="B223" s="1" t="s">
        <v>941</v>
      </c>
      <c r="C223" s="2">
        <v>46101.560289351903</v>
      </c>
      <c r="D223" s="1" t="s">
        <v>30</v>
      </c>
      <c r="E223" s="1" t="s">
        <v>650</v>
      </c>
      <c r="F223" s="1" t="s">
        <v>533</v>
      </c>
      <c r="G223" s="3">
        <v>46101</v>
      </c>
      <c r="H223" s="1" t="s">
        <v>942</v>
      </c>
      <c r="I223" s="1" t="s">
        <v>63</v>
      </c>
      <c r="J223" s="1" t="s">
        <v>211</v>
      </c>
      <c r="K223" s="1" t="s">
        <v>35</v>
      </c>
      <c r="L223" t="s">
        <v>652</v>
      </c>
      <c r="M223" s="1" t="s">
        <v>45</v>
      </c>
      <c r="N223" s="3">
        <v>46101</v>
      </c>
      <c r="O223" s="1" t="s">
        <v>30</v>
      </c>
      <c r="P223" s="4">
        <v>30000</v>
      </c>
      <c r="Q223" s="5">
        <v>10</v>
      </c>
      <c r="R223" s="1" t="s">
        <v>38</v>
      </c>
      <c r="S223" s="5">
        <v>0</v>
      </c>
      <c r="T223" s="1" t="s">
        <v>39</v>
      </c>
      <c r="U223" s="4">
        <v>37256.99</v>
      </c>
      <c r="V223" s="5">
        <v>0</v>
      </c>
      <c r="W223" s="5">
        <v>0</v>
      </c>
      <c r="Z223" s="3">
        <v>46101</v>
      </c>
      <c r="AA223" s="1" t="s">
        <v>41</v>
      </c>
      <c r="AB223" s="1" t="s">
        <v>42</v>
      </c>
      <c r="AC223" t="b">
        <f t="shared" si="12"/>
        <v>1</v>
      </c>
      <c r="AD223" t="b">
        <f t="shared" si="13"/>
        <v>0</v>
      </c>
      <c r="AE223" t="b">
        <f t="shared" si="14"/>
        <v>0</v>
      </c>
      <c r="AF223" t="b">
        <f t="shared" si="15"/>
        <v>0</v>
      </c>
    </row>
    <row r="224" spans="1:32">
      <c r="A224" t="s">
        <v>943</v>
      </c>
      <c r="B224" s="1" t="s">
        <v>944</v>
      </c>
      <c r="C224" s="2">
        <v>46139.705277777801</v>
      </c>
      <c r="D224" s="1" t="s">
        <v>30</v>
      </c>
      <c r="E224" s="1" t="s">
        <v>945</v>
      </c>
      <c r="F224" s="1" t="s">
        <v>248</v>
      </c>
      <c r="G224" s="3">
        <v>46146</v>
      </c>
      <c r="H224" s="1" t="s">
        <v>946</v>
      </c>
      <c r="I224" s="1" t="s">
        <v>63</v>
      </c>
      <c r="J224" s="1" t="s">
        <v>563</v>
      </c>
      <c r="K224" s="1" t="s">
        <v>35</v>
      </c>
      <c r="L224" t="s">
        <v>248</v>
      </c>
      <c r="M224" s="1" t="s">
        <v>45</v>
      </c>
      <c r="N224" s="3">
        <v>46139</v>
      </c>
      <c r="O224" s="1" t="s">
        <v>30</v>
      </c>
      <c r="P224" s="4">
        <v>30000</v>
      </c>
      <c r="Q224" s="5">
        <v>1</v>
      </c>
      <c r="R224" s="1" t="s">
        <v>38</v>
      </c>
      <c r="T224" s="1" t="s">
        <v>39</v>
      </c>
      <c r="U224" s="4">
        <v>38355.01</v>
      </c>
      <c r="V224" s="5">
        <v>2</v>
      </c>
      <c r="W224" s="5">
        <v>0</v>
      </c>
      <c r="Y224" s="1" t="s">
        <v>58</v>
      </c>
      <c r="Z224" s="3">
        <v>46146</v>
      </c>
      <c r="AA224" s="1" t="s">
        <v>41</v>
      </c>
      <c r="AB224" s="1" t="s">
        <v>42</v>
      </c>
      <c r="AC224" t="b">
        <f t="shared" si="12"/>
        <v>1</v>
      </c>
      <c r="AD224" t="b">
        <f t="shared" si="13"/>
        <v>0</v>
      </c>
      <c r="AE224" t="b">
        <f t="shared" si="14"/>
        <v>0</v>
      </c>
      <c r="AF224" t="b">
        <f t="shared" si="15"/>
        <v>0</v>
      </c>
    </row>
    <row r="225" spans="1:32">
      <c r="A225" t="s">
        <v>947</v>
      </c>
      <c r="B225" s="1" t="s">
        <v>948</v>
      </c>
      <c r="C225" s="2">
        <v>46101.560173611098</v>
      </c>
      <c r="D225" s="1" t="s">
        <v>30</v>
      </c>
      <c r="E225" s="1" t="s">
        <v>650</v>
      </c>
      <c r="F225" s="1" t="s">
        <v>533</v>
      </c>
      <c r="G225" s="3">
        <v>46101</v>
      </c>
      <c r="H225" s="1" t="s">
        <v>942</v>
      </c>
      <c r="I225" s="1" t="s">
        <v>63</v>
      </c>
      <c r="J225" s="1" t="s">
        <v>114</v>
      </c>
      <c r="K225" s="1" t="s">
        <v>35</v>
      </c>
      <c r="L225" t="s">
        <v>652</v>
      </c>
      <c r="M225" s="1" t="s">
        <v>45</v>
      </c>
      <c r="N225" s="3">
        <v>46101</v>
      </c>
      <c r="O225" s="1" t="s">
        <v>30</v>
      </c>
      <c r="P225" s="4">
        <v>30000</v>
      </c>
      <c r="Q225" s="5">
        <v>10</v>
      </c>
      <c r="R225" s="1" t="s">
        <v>38</v>
      </c>
      <c r="S225" s="5">
        <v>0</v>
      </c>
      <c r="T225" s="1" t="s">
        <v>39</v>
      </c>
      <c r="U225" s="4">
        <v>37256.99</v>
      </c>
      <c r="V225" s="5">
        <v>0</v>
      </c>
      <c r="W225" s="5">
        <v>0</v>
      </c>
      <c r="Z225" s="3">
        <v>46101</v>
      </c>
      <c r="AA225" s="1" t="s">
        <v>41</v>
      </c>
      <c r="AB225" s="1" t="s">
        <v>42</v>
      </c>
      <c r="AC225" t="b">
        <f t="shared" si="12"/>
        <v>1</v>
      </c>
      <c r="AD225" t="b">
        <f t="shared" si="13"/>
        <v>0</v>
      </c>
      <c r="AE225" t="b">
        <f t="shared" si="14"/>
        <v>0</v>
      </c>
      <c r="AF225" t="b">
        <f t="shared" si="15"/>
        <v>0</v>
      </c>
    </row>
    <row r="226" spans="1:32">
      <c r="A226" t="s">
        <v>949</v>
      </c>
      <c r="B226" s="1" t="s">
        <v>950</v>
      </c>
      <c r="C226" s="2">
        <v>46171.879421296297</v>
      </c>
      <c r="D226" s="1" t="s">
        <v>30</v>
      </c>
      <c r="E226" s="1" t="s">
        <v>951</v>
      </c>
      <c r="F226" s="1" t="s">
        <v>952</v>
      </c>
      <c r="G226" s="3">
        <v>46219</v>
      </c>
      <c r="H226" s="1" t="s">
        <v>953</v>
      </c>
      <c r="I226" s="1" t="s">
        <v>63</v>
      </c>
      <c r="J226" s="1" t="s">
        <v>35</v>
      </c>
      <c r="K226" s="1" t="s">
        <v>232</v>
      </c>
      <c r="L226" t="s">
        <v>952</v>
      </c>
      <c r="N226" s="3">
        <v>46171</v>
      </c>
      <c r="O226" s="1" t="s">
        <v>30</v>
      </c>
      <c r="P226" s="4">
        <v>30000</v>
      </c>
      <c r="Q226" s="5">
        <v>1</v>
      </c>
      <c r="R226" s="1" t="s">
        <v>38</v>
      </c>
      <c r="T226" s="1" t="s">
        <v>39</v>
      </c>
      <c r="U226" s="4">
        <v>38159.99</v>
      </c>
      <c r="V226" s="5">
        <v>1</v>
      </c>
      <c r="W226" s="5">
        <v>0</v>
      </c>
      <c r="Y226" s="1" t="s">
        <v>72</v>
      </c>
      <c r="Z226" s="3">
        <v>46219</v>
      </c>
      <c r="AA226" s="1" t="s">
        <v>41</v>
      </c>
      <c r="AB226" s="1" t="s">
        <v>42</v>
      </c>
      <c r="AC226" t="b">
        <f t="shared" si="12"/>
        <v>0</v>
      </c>
      <c r="AD226" t="b">
        <f t="shared" si="13"/>
        <v>0</v>
      </c>
      <c r="AE226" t="b">
        <f t="shared" si="14"/>
        <v>0</v>
      </c>
      <c r="AF226" t="b">
        <f t="shared" si="15"/>
        <v>0</v>
      </c>
    </row>
    <row r="227" spans="1:32">
      <c r="A227" t="s">
        <v>954</v>
      </c>
      <c r="B227" s="1" t="s">
        <v>955</v>
      </c>
      <c r="C227" s="2">
        <v>46101.560162037</v>
      </c>
      <c r="D227" s="1" t="s">
        <v>30</v>
      </c>
      <c r="E227" s="1" t="s">
        <v>650</v>
      </c>
      <c r="F227" s="1" t="s">
        <v>533</v>
      </c>
      <c r="G227" s="3">
        <v>46101</v>
      </c>
      <c r="H227" s="1" t="s">
        <v>942</v>
      </c>
      <c r="I227" s="1" t="s">
        <v>63</v>
      </c>
      <c r="J227" s="1" t="s">
        <v>36</v>
      </c>
      <c r="K227" s="1" t="s">
        <v>35</v>
      </c>
      <c r="L227" t="s">
        <v>652</v>
      </c>
      <c r="M227" s="1" t="s">
        <v>45</v>
      </c>
      <c r="N227" s="3">
        <v>46101</v>
      </c>
      <c r="O227" s="1" t="s">
        <v>30</v>
      </c>
      <c r="P227" s="4">
        <v>30000</v>
      </c>
      <c r="Q227" s="5">
        <v>10</v>
      </c>
      <c r="R227" s="1" t="s">
        <v>38</v>
      </c>
      <c r="S227" s="5">
        <v>0</v>
      </c>
      <c r="T227" s="1" t="s">
        <v>39</v>
      </c>
      <c r="U227" s="4">
        <v>37256.99</v>
      </c>
      <c r="V227" s="5">
        <v>0</v>
      </c>
      <c r="W227" s="5">
        <v>0</v>
      </c>
      <c r="Z227" s="3">
        <v>46101</v>
      </c>
      <c r="AA227" s="1" t="s">
        <v>41</v>
      </c>
      <c r="AB227" s="1" t="s">
        <v>42</v>
      </c>
      <c r="AC227" t="b">
        <f t="shared" si="12"/>
        <v>1</v>
      </c>
      <c r="AD227" t="b">
        <f t="shared" si="13"/>
        <v>0</v>
      </c>
      <c r="AE227" t="b">
        <f t="shared" si="14"/>
        <v>0</v>
      </c>
      <c r="AF227" t="b">
        <f t="shared" si="15"/>
        <v>0</v>
      </c>
    </row>
    <row r="228" spans="1:32">
      <c r="A228" t="s">
        <v>956</v>
      </c>
      <c r="B228" s="1" t="s">
        <v>957</v>
      </c>
      <c r="C228" s="2">
        <v>46147.879050925898</v>
      </c>
      <c r="D228" s="1" t="s">
        <v>30</v>
      </c>
      <c r="E228" s="1" t="s">
        <v>958</v>
      </c>
      <c r="F228" s="1" t="s">
        <v>959</v>
      </c>
      <c r="G228" s="3">
        <v>46172</v>
      </c>
      <c r="H228" s="1" t="s">
        <v>960</v>
      </c>
      <c r="I228" s="1" t="s">
        <v>34</v>
      </c>
      <c r="J228" s="1" t="s">
        <v>35</v>
      </c>
      <c r="K228" s="1" t="s">
        <v>232</v>
      </c>
      <c r="L228" t="s">
        <v>959</v>
      </c>
      <c r="M228" s="1" t="s">
        <v>37</v>
      </c>
      <c r="N228" s="3">
        <v>46147</v>
      </c>
      <c r="O228" s="1" t="s">
        <v>30</v>
      </c>
      <c r="P228" s="4">
        <v>30000</v>
      </c>
      <c r="Q228" s="5">
        <v>3</v>
      </c>
      <c r="R228" s="1" t="s">
        <v>38</v>
      </c>
      <c r="S228" s="5">
        <v>4500</v>
      </c>
      <c r="T228" s="1" t="s">
        <v>39</v>
      </c>
      <c r="U228" s="4">
        <v>38775.01</v>
      </c>
      <c r="Y228" s="1" t="s">
        <v>961</v>
      </c>
      <c r="Z228" s="3">
        <v>46172</v>
      </c>
      <c r="AA228" s="1" t="s">
        <v>41</v>
      </c>
      <c r="AB228" s="1" t="s">
        <v>42</v>
      </c>
      <c r="AC228" t="b">
        <f t="shared" si="12"/>
        <v>1</v>
      </c>
      <c r="AD228" t="b">
        <f t="shared" si="13"/>
        <v>0</v>
      </c>
      <c r="AE228" t="b">
        <f t="shared" si="14"/>
        <v>0</v>
      </c>
      <c r="AF228" t="b">
        <f t="shared" si="15"/>
        <v>0</v>
      </c>
    </row>
    <row r="229" spans="1:32">
      <c r="A229" t="s">
        <v>962</v>
      </c>
      <c r="B229" s="1" t="s">
        <v>963</v>
      </c>
      <c r="C229" s="2">
        <v>46176.866087962997</v>
      </c>
      <c r="D229" s="1" t="s">
        <v>30</v>
      </c>
      <c r="E229" s="1" t="s">
        <v>386</v>
      </c>
      <c r="F229" s="1" t="s">
        <v>387</v>
      </c>
      <c r="G229" s="3">
        <v>46175</v>
      </c>
      <c r="H229" s="1" t="s">
        <v>449</v>
      </c>
      <c r="I229" s="1" t="s">
        <v>34</v>
      </c>
      <c r="J229" s="1" t="s">
        <v>35</v>
      </c>
      <c r="K229" s="1" t="s">
        <v>35</v>
      </c>
      <c r="L229" t="s">
        <v>387</v>
      </c>
      <c r="N229" s="3">
        <v>46176</v>
      </c>
      <c r="O229" s="1" t="s">
        <v>30</v>
      </c>
      <c r="P229" s="4">
        <v>30000</v>
      </c>
      <c r="Q229" s="5">
        <v>15</v>
      </c>
      <c r="R229" s="1" t="s">
        <v>38</v>
      </c>
      <c r="S229" s="5">
        <v>1100</v>
      </c>
      <c r="T229" s="1" t="s">
        <v>39</v>
      </c>
      <c r="U229" s="4">
        <v>38477.99</v>
      </c>
      <c r="Y229" s="1" t="s">
        <v>58</v>
      </c>
      <c r="Z229" s="3">
        <v>46175</v>
      </c>
      <c r="AA229" s="1" t="s">
        <v>41</v>
      </c>
      <c r="AB229" s="1" t="s">
        <v>42</v>
      </c>
      <c r="AC229" t="b">
        <f t="shared" si="12"/>
        <v>0</v>
      </c>
      <c r="AD229" t="b">
        <f t="shared" si="13"/>
        <v>0</v>
      </c>
      <c r="AE229" t="b">
        <f t="shared" si="14"/>
        <v>0</v>
      </c>
      <c r="AF229" t="b">
        <f t="shared" si="15"/>
        <v>0</v>
      </c>
    </row>
    <row r="230" spans="1:32">
      <c r="A230" t="s">
        <v>964</v>
      </c>
      <c r="B230" s="1" t="s">
        <v>965</v>
      </c>
      <c r="C230" s="2">
        <v>46101.560277777797</v>
      </c>
      <c r="D230" s="1" t="s">
        <v>30</v>
      </c>
      <c r="E230" s="1" t="s">
        <v>650</v>
      </c>
      <c r="F230" s="1" t="s">
        <v>533</v>
      </c>
      <c r="G230" s="3">
        <v>46101</v>
      </c>
      <c r="H230" s="1" t="s">
        <v>942</v>
      </c>
      <c r="I230" s="1" t="s">
        <v>63</v>
      </c>
      <c r="J230" s="1" t="s">
        <v>966</v>
      </c>
      <c r="K230" s="1" t="s">
        <v>35</v>
      </c>
      <c r="L230" t="s">
        <v>652</v>
      </c>
      <c r="M230" s="1" t="s">
        <v>45</v>
      </c>
      <c r="N230" s="3">
        <v>46101</v>
      </c>
      <c r="O230" s="1" t="s">
        <v>30</v>
      </c>
      <c r="P230" s="4">
        <v>30000</v>
      </c>
      <c r="Q230" s="5">
        <v>10</v>
      </c>
      <c r="R230" s="1" t="s">
        <v>38</v>
      </c>
      <c r="S230" s="5">
        <v>0</v>
      </c>
      <c r="T230" s="1" t="s">
        <v>39</v>
      </c>
      <c r="U230" s="4">
        <v>37256.99</v>
      </c>
      <c r="V230" s="5">
        <v>0</v>
      </c>
      <c r="W230" s="5">
        <v>0</v>
      </c>
      <c r="Z230" s="3">
        <v>46101</v>
      </c>
      <c r="AA230" s="1" t="s">
        <v>41</v>
      </c>
      <c r="AB230" s="1" t="s">
        <v>42</v>
      </c>
      <c r="AC230" t="b">
        <f t="shared" si="12"/>
        <v>1</v>
      </c>
      <c r="AD230" t="b">
        <f t="shared" si="13"/>
        <v>0</v>
      </c>
      <c r="AE230" t="b">
        <f t="shared" si="14"/>
        <v>0</v>
      </c>
      <c r="AF230" t="b">
        <f t="shared" si="15"/>
        <v>0</v>
      </c>
    </row>
    <row r="231" spans="1:32">
      <c r="A231" t="s">
        <v>967</v>
      </c>
      <c r="B231" s="1" t="s">
        <v>968</v>
      </c>
      <c r="C231" s="2">
        <v>46101.560185185197</v>
      </c>
      <c r="D231" s="1" t="s">
        <v>30</v>
      </c>
      <c r="E231" s="1" t="s">
        <v>650</v>
      </c>
      <c r="F231" s="1" t="s">
        <v>533</v>
      </c>
      <c r="G231" s="3">
        <v>46101</v>
      </c>
      <c r="H231" s="1" t="s">
        <v>942</v>
      </c>
      <c r="I231" s="1" t="s">
        <v>63</v>
      </c>
      <c r="J231" s="1" t="s">
        <v>64</v>
      </c>
      <c r="K231" s="1" t="s">
        <v>35</v>
      </c>
      <c r="L231" t="s">
        <v>652</v>
      </c>
      <c r="M231" s="1" t="s">
        <v>45</v>
      </c>
      <c r="N231" s="3">
        <v>46101</v>
      </c>
      <c r="O231" s="1" t="s">
        <v>30</v>
      </c>
      <c r="P231" s="4">
        <v>30000</v>
      </c>
      <c r="Q231" s="5">
        <v>10</v>
      </c>
      <c r="R231" s="1" t="s">
        <v>38</v>
      </c>
      <c r="S231" s="5">
        <v>0</v>
      </c>
      <c r="T231" s="1" t="s">
        <v>39</v>
      </c>
      <c r="U231" s="4">
        <v>37256.99</v>
      </c>
      <c r="V231" s="5">
        <v>0</v>
      </c>
      <c r="W231" s="5">
        <v>0</v>
      </c>
      <c r="Z231" s="3">
        <v>46101</v>
      </c>
      <c r="AA231" s="1" t="s">
        <v>41</v>
      </c>
      <c r="AB231" s="1" t="s">
        <v>42</v>
      </c>
      <c r="AC231" t="b">
        <f t="shared" si="12"/>
        <v>1</v>
      </c>
      <c r="AD231" t="b">
        <f t="shared" si="13"/>
        <v>0</v>
      </c>
      <c r="AE231" t="b">
        <f t="shared" si="14"/>
        <v>0</v>
      </c>
      <c r="AF231" t="b">
        <f t="shared" si="15"/>
        <v>0</v>
      </c>
    </row>
    <row r="232" spans="1:32">
      <c r="A232" t="s">
        <v>969</v>
      </c>
      <c r="B232" s="1" t="s">
        <v>970</v>
      </c>
      <c r="C232" s="2">
        <v>46161.0081712963</v>
      </c>
      <c r="D232" s="1" t="s">
        <v>30</v>
      </c>
      <c r="E232" s="1" t="s">
        <v>971</v>
      </c>
      <c r="F232" s="1" t="s">
        <v>636</v>
      </c>
      <c r="G232" s="3">
        <v>46161</v>
      </c>
      <c r="H232" s="1" t="s">
        <v>972</v>
      </c>
      <c r="I232" s="1" t="s">
        <v>34</v>
      </c>
      <c r="J232" s="1" t="s">
        <v>35</v>
      </c>
      <c r="K232" s="1" t="s">
        <v>232</v>
      </c>
      <c r="L232" t="s">
        <v>636</v>
      </c>
      <c r="M232" s="1" t="s">
        <v>37</v>
      </c>
      <c r="N232" s="3">
        <v>46160</v>
      </c>
      <c r="O232" s="1" t="s">
        <v>30</v>
      </c>
      <c r="P232" s="4">
        <v>30000</v>
      </c>
      <c r="Q232" s="5">
        <v>3</v>
      </c>
      <c r="R232" s="1" t="s">
        <v>38</v>
      </c>
      <c r="S232" s="5">
        <v>3000</v>
      </c>
      <c r="T232" s="1" t="s">
        <v>39</v>
      </c>
      <c r="U232" s="4">
        <v>38193.01</v>
      </c>
      <c r="Y232" s="1" t="s">
        <v>58</v>
      </c>
      <c r="Z232" s="3">
        <v>46161</v>
      </c>
      <c r="AA232" s="1" t="s">
        <v>41</v>
      </c>
      <c r="AB232" s="1" t="s">
        <v>42</v>
      </c>
      <c r="AC232" t="b">
        <f t="shared" si="12"/>
        <v>1</v>
      </c>
      <c r="AD232" t="b">
        <f t="shared" si="13"/>
        <v>0</v>
      </c>
      <c r="AE232" t="b">
        <f t="shared" si="14"/>
        <v>0</v>
      </c>
      <c r="AF232" t="b">
        <f t="shared" si="15"/>
        <v>0</v>
      </c>
    </row>
    <row r="233" spans="1:32">
      <c r="A233" t="s">
        <v>973</v>
      </c>
      <c r="B233" s="1" t="s">
        <v>974</v>
      </c>
      <c r="C233" s="2">
        <v>46176.788715277798</v>
      </c>
      <c r="D233" s="1" t="s">
        <v>30</v>
      </c>
      <c r="E233" s="1" t="s">
        <v>975</v>
      </c>
      <c r="F233" s="1" t="s">
        <v>810</v>
      </c>
      <c r="G233" s="3">
        <v>46176</v>
      </c>
      <c r="H233" s="1" t="s">
        <v>976</v>
      </c>
      <c r="I233" s="1" t="s">
        <v>34</v>
      </c>
      <c r="J233" s="1" t="s">
        <v>35</v>
      </c>
      <c r="K233" s="1" t="s">
        <v>244</v>
      </c>
      <c r="L233" t="s">
        <v>810</v>
      </c>
      <c r="M233" s="1" t="s">
        <v>45</v>
      </c>
      <c r="N233" s="3">
        <v>46176</v>
      </c>
      <c r="O233" s="1" t="s">
        <v>30</v>
      </c>
      <c r="P233" s="4">
        <v>30000</v>
      </c>
      <c r="Q233" s="5">
        <v>2</v>
      </c>
      <c r="R233" s="1" t="s">
        <v>38</v>
      </c>
      <c r="S233" s="5">
        <v>1000</v>
      </c>
      <c r="T233" s="1" t="s">
        <v>39</v>
      </c>
      <c r="U233" s="4">
        <v>38477.99</v>
      </c>
      <c r="Y233" s="1" t="s">
        <v>40</v>
      </c>
      <c r="Z233" s="3">
        <v>46176</v>
      </c>
      <c r="AA233" s="1" t="s">
        <v>41</v>
      </c>
      <c r="AB233" s="1" t="s">
        <v>42</v>
      </c>
      <c r="AC233" t="b">
        <f t="shared" si="12"/>
        <v>0</v>
      </c>
      <c r="AD233" t="b">
        <f t="shared" si="13"/>
        <v>0</v>
      </c>
      <c r="AE233" t="b">
        <f t="shared" si="14"/>
        <v>0</v>
      </c>
      <c r="AF233" t="b">
        <f t="shared" si="15"/>
        <v>0</v>
      </c>
    </row>
    <row r="234" spans="1:32">
      <c r="A234" t="s">
        <v>977</v>
      </c>
      <c r="B234" s="1" t="s">
        <v>978</v>
      </c>
      <c r="C234" s="2">
        <v>46101.560266203698</v>
      </c>
      <c r="D234" s="1" t="s">
        <v>30</v>
      </c>
      <c r="E234" s="1" t="s">
        <v>650</v>
      </c>
      <c r="F234" s="1" t="s">
        <v>533</v>
      </c>
      <c r="G234" s="3">
        <v>46101</v>
      </c>
      <c r="H234" s="1" t="s">
        <v>942</v>
      </c>
      <c r="I234" s="1" t="s">
        <v>63</v>
      </c>
      <c r="J234" s="1" t="s">
        <v>57</v>
      </c>
      <c r="K234" s="1" t="s">
        <v>35</v>
      </c>
      <c r="L234" t="s">
        <v>652</v>
      </c>
      <c r="M234" s="1" t="s">
        <v>45</v>
      </c>
      <c r="N234" s="3">
        <v>46101</v>
      </c>
      <c r="O234" s="1" t="s">
        <v>30</v>
      </c>
      <c r="P234" s="4">
        <v>30000</v>
      </c>
      <c r="Q234" s="5">
        <v>10</v>
      </c>
      <c r="R234" s="1" t="s">
        <v>38</v>
      </c>
      <c r="S234" s="5">
        <v>0</v>
      </c>
      <c r="T234" s="1" t="s">
        <v>39</v>
      </c>
      <c r="U234" s="4">
        <v>37256.99</v>
      </c>
      <c r="V234" s="5">
        <v>0</v>
      </c>
      <c r="W234" s="5">
        <v>0</v>
      </c>
      <c r="Z234" s="3">
        <v>46101</v>
      </c>
      <c r="AA234" s="1" t="s">
        <v>41</v>
      </c>
      <c r="AB234" s="1" t="s">
        <v>42</v>
      </c>
      <c r="AC234" t="b">
        <f t="shared" si="12"/>
        <v>1</v>
      </c>
      <c r="AD234" t="b">
        <f t="shared" si="13"/>
        <v>0</v>
      </c>
      <c r="AE234" t="b">
        <f t="shared" si="14"/>
        <v>0</v>
      </c>
      <c r="AF234" t="b">
        <f t="shared" si="15"/>
        <v>0</v>
      </c>
    </row>
    <row r="235" spans="1:32">
      <c r="A235" t="s">
        <v>979</v>
      </c>
      <c r="B235" s="1" t="s">
        <v>980</v>
      </c>
      <c r="C235" s="2">
        <v>46170.470810185201</v>
      </c>
      <c r="D235" s="1" t="s">
        <v>30</v>
      </c>
      <c r="E235" s="1" t="s">
        <v>510</v>
      </c>
      <c r="F235" s="1" t="s">
        <v>348</v>
      </c>
      <c r="G235" s="3">
        <v>46170</v>
      </c>
      <c r="H235" s="1" t="s">
        <v>981</v>
      </c>
      <c r="I235" s="1" t="s">
        <v>97</v>
      </c>
      <c r="J235" s="1" t="s">
        <v>114</v>
      </c>
      <c r="K235" s="1" t="s">
        <v>35</v>
      </c>
      <c r="L235" t="s">
        <v>348</v>
      </c>
      <c r="M235" s="1" t="s">
        <v>45</v>
      </c>
      <c r="N235" s="3">
        <v>46170</v>
      </c>
      <c r="O235" s="1" t="s">
        <v>30</v>
      </c>
      <c r="P235" s="4">
        <v>30000</v>
      </c>
      <c r="Q235" s="5">
        <v>1</v>
      </c>
      <c r="R235" s="1" t="s">
        <v>38</v>
      </c>
      <c r="T235" s="1" t="s">
        <v>39</v>
      </c>
      <c r="U235" s="4">
        <v>38274.01</v>
      </c>
      <c r="Y235" s="1" t="s">
        <v>227</v>
      </c>
      <c r="Z235" s="3">
        <v>46170</v>
      </c>
      <c r="AA235" s="1" t="s">
        <v>41</v>
      </c>
      <c r="AB235" s="1" t="s">
        <v>42</v>
      </c>
      <c r="AC235" t="b">
        <f t="shared" si="12"/>
        <v>0</v>
      </c>
      <c r="AD235" t="b">
        <f t="shared" si="13"/>
        <v>0</v>
      </c>
      <c r="AE235" t="b">
        <f t="shared" si="14"/>
        <v>0</v>
      </c>
      <c r="AF235" t="b">
        <f t="shared" si="15"/>
        <v>0</v>
      </c>
    </row>
    <row r="236" spans="1:32">
      <c r="A236" t="s">
        <v>982</v>
      </c>
      <c r="B236" s="1" t="s">
        <v>983</v>
      </c>
      <c r="C236" s="2">
        <v>46101.5602083333</v>
      </c>
      <c r="D236" s="1" t="s">
        <v>30</v>
      </c>
      <c r="E236" s="1" t="s">
        <v>650</v>
      </c>
      <c r="F236" s="1" t="s">
        <v>533</v>
      </c>
      <c r="G236" s="3">
        <v>46101</v>
      </c>
      <c r="H236" s="1" t="s">
        <v>942</v>
      </c>
      <c r="I236" s="1" t="s">
        <v>63</v>
      </c>
      <c r="J236" s="1" t="s">
        <v>315</v>
      </c>
      <c r="K236" s="1" t="s">
        <v>35</v>
      </c>
      <c r="L236" t="s">
        <v>652</v>
      </c>
      <c r="M236" s="1" t="s">
        <v>45</v>
      </c>
      <c r="N236" s="3">
        <v>46101</v>
      </c>
      <c r="O236" s="1" t="s">
        <v>30</v>
      </c>
      <c r="P236" s="4">
        <v>30000</v>
      </c>
      <c r="Q236" s="5">
        <v>10</v>
      </c>
      <c r="R236" s="1" t="s">
        <v>65</v>
      </c>
      <c r="S236" s="5">
        <v>0</v>
      </c>
      <c r="T236" s="1" t="s">
        <v>39</v>
      </c>
      <c r="U236" s="4">
        <v>37256.99</v>
      </c>
      <c r="V236" s="5">
        <v>0</v>
      </c>
      <c r="W236" s="5">
        <v>0</v>
      </c>
      <c r="Z236" s="3">
        <v>46101</v>
      </c>
      <c r="AA236" s="1" t="s">
        <v>41</v>
      </c>
      <c r="AB236" s="1" t="s">
        <v>42</v>
      </c>
      <c r="AC236" t="b">
        <f t="shared" si="12"/>
        <v>1</v>
      </c>
      <c r="AD236" t="b">
        <f t="shared" si="13"/>
        <v>0</v>
      </c>
      <c r="AE236" t="b">
        <f t="shared" si="14"/>
        <v>0</v>
      </c>
      <c r="AF236" t="b">
        <f t="shared" si="15"/>
        <v>0</v>
      </c>
    </row>
    <row r="237" spans="1:32">
      <c r="A237" t="s">
        <v>984</v>
      </c>
      <c r="B237" s="1" t="s">
        <v>985</v>
      </c>
      <c r="C237" s="2">
        <v>46157.879687499997</v>
      </c>
      <c r="D237" s="1" t="s">
        <v>30</v>
      </c>
      <c r="E237" s="1" t="s">
        <v>829</v>
      </c>
      <c r="F237" s="1" t="s">
        <v>348</v>
      </c>
      <c r="G237" s="3">
        <v>46191</v>
      </c>
      <c r="H237" s="1" t="s">
        <v>986</v>
      </c>
      <c r="I237" s="1" t="s">
        <v>63</v>
      </c>
      <c r="J237" s="1" t="s">
        <v>563</v>
      </c>
      <c r="K237" s="1" t="s">
        <v>831</v>
      </c>
      <c r="L237" t="s">
        <v>348</v>
      </c>
      <c r="M237" s="1" t="s">
        <v>45</v>
      </c>
      <c r="N237" s="3">
        <v>46157</v>
      </c>
      <c r="O237" s="1" t="s">
        <v>30</v>
      </c>
      <c r="P237" s="4">
        <v>30000</v>
      </c>
      <c r="Q237" s="5">
        <v>10</v>
      </c>
      <c r="R237" s="1" t="s">
        <v>38</v>
      </c>
      <c r="T237" s="1" t="s">
        <v>39</v>
      </c>
      <c r="U237" s="4">
        <v>39093.01</v>
      </c>
      <c r="V237" s="5">
        <v>10</v>
      </c>
      <c r="W237" s="5">
        <v>5</v>
      </c>
      <c r="Y237" s="1" t="s">
        <v>227</v>
      </c>
      <c r="Z237" s="3">
        <v>46191</v>
      </c>
      <c r="AA237" s="1" t="s">
        <v>41</v>
      </c>
      <c r="AB237" s="1" t="s">
        <v>42</v>
      </c>
      <c r="AC237" t="b">
        <f t="shared" si="12"/>
        <v>0</v>
      </c>
      <c r="AD237" t="b">
        <f t="shared" si="13"/>
        <v>0</v>
      </c>
      <c r="AE237" t="b">
        <f t="shared" si="14"/>
        <v>0</v>
      </c>
      <c r="AF237" t="b">
        <f t="shared" si="15"/>
        <v>0</v>
      </c>
    </row>
    <row r="238" spans="1:32">
      <c r="A238" t="s">
        <v>987</v>
      </c>
      <c r="B238" s="1" t="s">
        <v>988</v>
      </c>
      <c r="C238" s="2">
        <v>46101.560370370396</v>
      </c>
      <c r="D238" s="1" t="s">
        <v>30</v>
      </c>
      <c r="E238" s="1" t="s">
        <v>650</v>
      </c>
      <c r="F238" s="1" t="s">
        <v>533</v>
      </c>
      <c r="G238" s="3">
        <v>46101</v>
      </c>
      <c r="H238" s="1" t="s">
        <v>942</v>
      </c>
      <c r="I238" s="1" t="s">
        <v>63</v>
      </c>
      <c r="J238" s="1" t="s">
        <v>831</v>
      </c>
      <c r="K238" s="1" t="s">
        <v>35</v>
      </c>
      <c r="L238" t="s">
        <v>652</v>
      </c>
      <c r="M238" s="1" t="s">
        <v>45</v>
      </c>
      <c r="N238" s="3">
        <v>46101</v>
      </c>
      <c r="O238" s="1" t="s">
        <v>30</v>
      </c>
      <c r="P238" s="4">
        <v>30000</v>
      </c>
      <c r="Q238" s="5">
        <v>10</v>
      </c>
      <c r="R238" s="1" t="s">
        <v>38</v>
      </c>
      <c r="S238" s="5">
        <v>0</v>
      </c>
      <c r="T238" s="1" t="s">
        <v>39</v>
      </c>
      <c r="U238" s="4">
        <v>37256.99</v>
      </c>
      <c r="V238" s="5">
        <v>0</v>
      </c>
      <c r="W238" s="5">
        <v>0</v>
      </c>
      <c r="Z238" s="3">
        <v>46101</v>
      </c>
      <c r="AA238" s="1" t="s">
        <v>41</v>
      </c>
      <c r="AB238" s="1" t="s">
        <v>42</v>
      </c>
      <c r="AC238" t="b">
        <f t="shared" si="12"/>
        <v>1</v>
      </c>
      <c r="AD238" t="b">
        <f t="shared" si="13"/>
        <v>0</v>
      </c>
      <c r="AE238" t="b">
        <f t="shared" si="14"/>
        <v>0</v>
      </c>
      <c r="AF238" t="b">
        <f t="shared" si="15"/>
        <v>0</v>
      </c>
    </row>
    <row r="239" spans="1:32">
      <c r="A239" t="s">
        <v>989</v>
      </c>
      <c r="B239" s="1" t="s">
        <v>990</v>
      </c>
      <c r="C239" s="2">
        <v>46153.613182870402</v>
      </c>
      <c r="D239" s="1" t="s">
        <v>30</v>
      </c>
      <c r="E239" s="1" t="s">
        <v>991</v>
      </c>
      <c r="F239" s="1" t="s">
        <v>248</v>
      </c>
      <c r="G239" s="3">
        <v>46157</v>
      </c>
      <c r="H239" s="1" t="s">
        <v>992</v>
      </c>
      <c r="I239" s="1" t="s">
        <v>993</v>
      </c>
      <c r="J239" s="1" t="s">
        <v>36</v>
      </c>
      <c r="K239" s="1" t="s">
        <v>35</v>
      </c>
      <c r="L239" t="s">
        <v>248</v>
      </c>
      <c r="M239" s="1" t="s">
        <v>45</v>
      </c>
      <c r="N239" s="3">
        <v>46153</v>
      </c>
      <c r="O239" s="1" t="s">
        <v>30</v>
      </c>
      <c r="P239" s="4">
        <v>30000</v>
      </c>
      <c r="Q239" s="5">
        <v>1</v>
      </c>
      <c r="R239" s="1" t="s">
        <v>38</v>
      </c>
      <c r="T239" s="1" t="s">
        <v>39</v>
      </c>
      <c r="U239" s="4">
        <v>38793.01</v>
      </c>
      <c r="Y239" s="1" t="s">
        <v>58</v>
      </c>
      <c r="Z239" s="3">
        <v>46157</v>
      </c>
      <c r="AA239" s="1" t="s">
        <v>41</v>
      </c>
      <c r="AB239" s="1" t="s">
        <v>208</v>
      </c>
      <c r="AC239" t="b">
        <f t="shared" si="12"/>
        <v>1</v>
      </c>
      <c r="AD239" t="b">
        <f t="shared" si="13"/>
        <v>0</v>
      </c>
      <c r="AE239" t="b">
        <f t="shared" si="14"/>
        <v>0</v>
      </c>
      <c r="AF239" t="b">
        <f t="shared" si="15"/>
        <v>0</v>
      </c>
    </row>
    <row r="240" spans="1:32">
      <c r="A240" t="s">
        <v>994</v>
      </c>
      <c r="B240" s="1" t="s">
        <v>995</v>
      </c>
      <c r="C240" s="2">
        <v>46127.736053240696</v>
      </c>
      <c r="D240" s="1" t="s">
        <v>30</v>
      </c>
      <c r="E240" s="1" t="s">
        <v>773</v>
      </c>
      <c r="F240" s="1" t="s">
        <v>200</v>
      </c>
      <c r="G240" s="3">
        <v>46128</v>
      </c>
      <c r="H240" s="1" t="s">
        <v>774</v>
      </c>
      <c r="I240" s="1" t="s">
        <v>63</v>
      </c>
      <c r="J240" s="1" t="s">
        <v>244</v>
      </c>
      <c r="K240" s="1" t="s">
        <v>35</v>
      </c>
      <c r="L240" t="s">
        <v>200</v>
      </c>
      <c r="M240" s="1" t="s">
        <v>45</v>
      </c>
      <c r="N240" s="3">
        <v>46127</v>
      </c>
      <c r="O240" s="1" t="s">
        <v>30</v>
      </c>
      <c r="P240" s="4">
        <v>30690</v>
      </c>
      <c r="Q240" s="5">
        <v>1</v>
      </c>
      <c r="R240" s="1" t="s">
        <v>38</v>
      </c>
      <c r="T240" s="1" t="s">
        <v>39</v>
      </c>
      <c r="U240" s="4">
        <v>38964.01</v>
      </c>
      <c r="V240" s="5">
        <v>2</v>
      </c>
      <c r="W240" s="5">
        <v>0</v>
      </c>
      <c r="Y240" s="1" t="s">
        <v>40</v>
      </c>
      <c r="Z240" s="3">
        <v>46128</v>
      </c>
      <c r="AA240" s="1" t="s">
        <v>41</v>
      </c>
      <c r="AB240" s="1" t="s">
        <v>208</v>
      </c>
      <c r="AC240" t="b">
        <f t="shared" si="12"/>
        <v>0</v>
      </c>
      <c r="AD240" t="b">
        <f t="shared" si="13"/>
        <v>0</v>
      </c>
      <c r="AE240" t="b">
        <f t="shared" si="14"/>
        <v>0</v>
      </c>
      <c r="AF240" t="b">
        <f t="shared" si="15"/>
        <v>0</v>
      </c>
    </row>
    <row r="241" spans="1:32">
      <c r="A241" t="s">
        <v>996</v>
      </c>
      <c r="B241" s="1" t="s">
        <v>997</v>
      </c>
      <c r="C241" s="2">
        <v>46051.471875000003</v>
      </c>
      <c r="D241" s="1" t="s">
        <v>30</v>
      </c>
      <c r="E241" s="1" t="s">
        <v>998</v>
      </c>
      <c r="F241" s="1" t="s">
        <v>76</v>
      </c>
      <c r="G241" s="3">
        <v>46053</v>
      </c>
      <c r="H241" s="1" t="s">
        <v>999</v>
      </c>
      <c r="I241" s="1" t="s">
        <v>63</v>
      </c>
      <c r="J241" s="1" t="s">
        <v>144</v>
      </c>
      <c r="K241" s="1" t="s">
        <v>35</v>
      </c>
      <c r="L241" t="s">
        <v>76</v>
      </c>
      <c r="M241" s="1" t="s">
        <v>45</v>
      </c>
      <c r="N241" s="3">
        <v>46051</v>
      </c>
      <c r="O241" s="1" t="s">
        <v>30</v>
      </c>
      <c r="P241" s="4">
        <v>30800</v>
      </c>
      <c r="Q241" s="5">
        <v>1</v>
      </c>
      <c r="R241" s="1" t="s">
        <v>38</v>
      </c>
      <c r="T241" s="1" t="s">
        <v>39</v>
      </c>
      <c r="U241" s="4">
        <v>37070.870000000003</v>
      </c>
      <c r="V241" s="5">
        <v>2</v>
      </c>
      <c r="W241" s="5">
        <v>0</v>
      </c>
      <c r="Y241" s="1" t="s">
        <v>72</v>
      </c>
      <c r="Z241" s="3">
        <v>46053</v>
      </c>
      <c r="AA241" s="1" t="s">
        <v>41</v>
      </c>
      <c r="AB241" s="1" t="s">
        <v>42</v>
      </c>
      <c r="AC241" t="b">
        <f t="shared" si="12"/>
        <v>0</v>
      </c>
      <c r="AD241" t="b">
        <f t="shared" si="13"/>
        <v>0</v>
      </c>
      <c r="AE241" t="b">
        <f t="shared" si="14"/>
        <v>0</v>
      </c>
      <c r="AF241" t="b">
        <f t="shared" si="15"/>
        <v>0</v>
      </c>
    </row>
    <row r="242" spans="1:32">
      <c r="A242" t="s">
        <v>1000</v>
      </c>
      <c r="B242" s="1" t="s">
        <v>1001</v>
      </c>
      <c r="C242" s="2">
        <v>46178.786157407398</v>
      </c>
      <c r="D242" s="1" t="s">
        <v>30</v>
      </c>
      <c r="E242" s="1" t="s">
        <v>1002</v>
      </c>
      <c r="F242" s="1" t="s">
        <v>1003</v>
      </c>
      <c r="H242" s="1" t="s">
        <v>1004</v>
      </c>
      <c r="I242" s="1" t="s">
        <v>63</v>
      </c>
      <c r="J242" s="1" t="s">
        <v>35</v>
      </c>
      <c r="K242" s="1" t="s">
        <v>144</v>
      </c>
      <c r="L242" t="s">
        <v>1003</v>
      </c>
      <c r="M242" s="1" t="s">
        <v>45</v>
      </c>
      <c r="O242" s="1" t="s">
        <v>30</v>
      </c>
      <c r="P242" s="4">
        <v>32000</v>
      </c>
      <c r="Q242" s="5">
        <v>12</v>
      </c>
      <c r="T242" s="1" t="s">
        <v>39</v>
      </c>
      <c r="U242" s="4">
        <v>40553.599999999999</v>
      </c>
      <c r="V242" s="5">
        <v>24</v>
      </c>
      <c r="W242" s="5">
        <v>0</v>
      </c>
      <c r="Y242" s="1" t="s">
        <v>227</v>
      </c>
      <c r="Z242" s="3">
        <v>46218</v>
      </c>
      <c r="AA242" s="1" t="s">
        <v>237</v>
      </c>
      <c r="AB242" s="1" t="s">
        <v>238</v>
      </c>
      <c r="AC242" t="b">
        <f t="shared" si="12"/>
        <v>0</v>
      </c>
      <c r="AD242" t="b">
        <f t="shared" si="13"/>
        <v>0</v>
      </c>
      <c r="AE242" t="b">
        <f t="shared" si="14"/>
        <v>1</v>
      </c>
      <c r="AF242" t="b">
        <f t="shared" si="15"/>
        <v>0</v>
      </c>
    </row>
    <row r="243" spans="1:32">
      <c r="A243" t="s">
        <v>1005</v>
      </c>
      <c r="B243" s="1" t="s">
        <v>1006</v>
      </c>
      <c r="C243" s="2">
        <v>46175.585601851897</v>
      </c>
      <c r="D243" s="1" t="s">
        <v>30</v>
      </c>
      <c r="E243" s="1" t="s">
        <v>1007</v>
      </c>
      <c r="F243" s="1" t="s">
        <v>460</v>
      </c>
      <c r="G243" s="3">
        <v>46176</v>
      </c>
      <c r="H243" s="1" t="s">
        <v>1008</v>
      </c>
      <c r="I243" s="1" t="s">
        <v>63</v>
      </c>
      <c r="J243" s="1" t="s">
        <v>168</v>
      </c>
      <c r="K243" s="1" t="s">
        <v>35</v>
      </c>
      <c r="L243" t="s">
        <v>460</v>
      </c>
      <c r="M243" s="1" t="s">
        <v>45</v>
      </c>
      <c r="N243" s="3">
        <v>46175</v>
      </c>
      <c r="O243" s="1" t="s">
        <v>30</v>
      </c>
      <c r="P243" s="4">
        <v>32431</v>
      </c>
      <c r="Q243" s="5">
        <v>1</v>
      </c>
      <c r="R243" s="1" t="s">
        <v>65</v>
      </c>
      <c r="T243" s="1" t="s">
        <v>39</v>
      </c>
      <c r="U243" s="4">
        <v>41323.589999999997</v>
      </c>
      <c r="V243" s="5">
        <v>2</v>
      </c>
      <c r="W243" s="5">
        <v>0</v>
      </c>
      <c r="Y243" s="1" t="s">
        <v>227</v>
      </c>
      <c r="Z243" s="3">
        <v>46176</v>
      </c>
      <c r="AA243" s="1" t="s">
        <v>41</v>
      </c>
      <c r="AB243" s="1" t="s">
        <v>42</v>
      </c>
      <c r="AC243" t="b">
        <f t="shared" si="12"/>
        <v>0</v>
      </c>
      <c r="AD243" t="b">
        <f t="shared" si="13"/>
        <v>0</v>
      </c>
      <c r="AE243" t="b">
        <f t="shared" si="14"/>
        <v>1</v>
      </c>
      <c r="AF243" t="b">
        <f t="shared" si="15"/>
        <v>0</v>
      </c>
    </row>
    <row r="244" spans="1:32">
      <c r="A244" t="s">
        <v>1009</v>
      </c>
      <c r="B244" s="1" t="s">
        <v>1010</v>
      </c>
      <c r="C244" s="2">
        <v>46129.597696759301</v>
      </c>
      <c r="D244" s="1" t="s">
        <v>30</v>
      </c>
      <c r="E244" s="1" t="s">
        <v>61</v>
      </c>
      <c r="F244" s="1" t="s">
        <v>533</v>
      </c>
      <c r="G244" s="3">
        <v>46129</v>
      </c>
      <c r="H244" s="1" t="s">
        <v>123</v>
      </c>
      <c r="I244" s="1" t="s">
        <v>63</v>
      </c>
      <c r="J244" s="1" t="s">
        <v>35</v>
      </c>
      <c r="K244" s="1" t="s">
        <v>379</v>
      </c>
      <c r="L244" t="s">
        <v>49</v>
      </c>
      <c r="N244" s="3">
        <v>46129</v>
      </c>
      <c r="O244" s="1" t="s">
        <v>30</v>
      </c>
      <c r="P244" s="4">
        <v>33300</v>
      </c>
      <c r="Q244" s="5">
        <v>10</v>
      </c>
      <c r="R244" s="1" t="s">
        <v>65</v>
      </c>
      <c r="T244" s="1" t="s">
        <v>39</v>
      </c>
      <c r="U244" s="4">
        <v>42294.33</v>
      </c>
      <c r="V244" s="5">
        <v>22</v>
      </c>
      <c r="W244" s="5">
        <v>0</v>
      </c>
      <c r="Z244" s="3">
        <v>46129</v>
      </c>
      <c r="AA244" s="1" t="s">
        <v>41</v>
      </c>
      <c r="AB244" s="1" t="s">
        <v>42</v>
      </c>
      <c r="AC244" t="b">
        <f t="shared" si="12"/>
        <v>1</v>
      </c>
      <c r="AD244" t="b">
        <f t="shared" si="13"/>
        <v>0</v>
      </c>
      <c r="AE244" t="b">
        <f t="shared" si="14"/>
        <v>0</v>
      </c>
      <c r="AF244" t="b">
        <f t="shared" si="15"/>
        <v>0</v>
      </c>
    </row>
    <row r="245" spans="1:32">
      <c r="A245" t="s">
        <v>1011</v>
      </c>
      <c r="B245" s="1" t="s">
        <v>1012</v>
      </c>
      <c r="C245" s="2">
        <v>46114.877870370401</v>
      </c>
      <c r="D245" s="1" t="s">
        <v>30</v>
      </c>
      <c r="E245" s="1" t="s">
        <v>1013</v>
      </c>
      <c r="F245" s="1" t="s">
        <v>242</v>
      </c>
      <c r="G245" s="3">
        <v>46142</v>
      </c>
      <c r="H245" s="1" t="s">
        <v>1014</v>
      </c>
      <c r="I245" s="1" t="s">
        <v>34</v>
      </c>
      <c r="J245" s="1" t="s">
        <v>357</v>
      </c>
      <c r="K245" s="1" t="s">
        <v>35</v>
      </c>
      <c r="L245" t="s">
        <v>242</v>
      </c>
      <c r="N245" s="3">
        <v>46114</v>
      </c>
      <c r="O245" s="1" t="s">
        <v>30</v>
      </c>
      <c r="P245" s="4">
        <v>35000</v>
      </c>
      <c r="Q245" s="5">
        <v>1</v>
      </c>
      <c r="R245" s="1" t="s">
        <v>38</v>
      </c>
      <c r="S245" s="5">
        <v>542</v>
      </c>
      <c r="T245" s="1" t="s">
        <v>39</v>
      </c>
      <c r="U245" s="4">
        <v>43638.01</v>
      </c>
      <c r="Y245" s="1" t="s">
        <v>115</v>
      </c>
      <c r="Z245" s="3">
        <v>46142</v>
      </c>
      <c r="AA245" s="1" t="s">
        <v>41</v>
      </c>
      <c r="AB245" s="1" t="s">
        <v>42</v>
      </c>
      <c r="AC245" t="b">
        <f t="shared" si="12"/>
        <v>0</v>
      </c>
      <c r="AD245" t="b">
        <f t="shared" si="13"/>
        <v>0</v>
      </c>
      <c r="AE245" t="b">
        <f t="shared" si="14"/>
        <v>0</v>
      </c>
      <c r="AF245" t="b">
        <f t="shared" si="15"/>
        <v>0</v>
      </c>
    </row>
    <row r="246" spans="1:32">
      <c r="A246" t="s">
        <v>1015</v>
      </c>
      <c r="B246" s="1" t="s">
        <v>1016</v>
      </c>
      <c r="C246" s="2">
        <v>46079.467245370397</v>
      </c>
      <c r="D246" s="1" t="s">
        <v>30</v>
      </c>
      <c r="E246" s="1" t="s">
        <v>1017</v>
      </c>
      <c r="F246" s="1" t="s">
        <v>524</v>
      </c>
      <c r="G246" s="3">
        <v>46079</v>
      </c>
      <c r="H246" s="1" t="s">
        <v>1018</v>
      </c>
      <c r="I246" s="1" t="s">
        <v>63</v>
      </c>
      <c r="J246" s="1" t="s">
        <v>35</v>
      </c>
      <c r="K246" s="1" t="s">
        <v>57</v>
      </c>
      <c r="L246" t="s">
        <v>524</v>
      </c>
      <c r="M246" s="1" t="s">
        <v>45</v>
      </c>
      <c r="N246" s="3">
        <v>46079</v>
      </c>
      <c r="O246" s="1" t="s">
        <v>30</v>
      </c>
      <c r="P246" s="4">
        <v>35000</v>
      </c>
      <c r="Q246" s="5">
        <v>60</v>
      </c>
      <c r="R246" s="1" t="s">
        <v>38</v>
      </c>
      <c r="T246" s="1" t="s">
        <v>39</v>
      </c>
      <c r="U246" s="4">
        <v>43295</v>
      </c>
      <c r="V246" s="5">
        <v>0</v>
      </c>
      <c r="W246" s="5">
        <v>179</v>
      </c>
      <c r="Y246" s="1" t="s">
        <v>227</v>
      </c>
      <c r="Z246" s="3">
        <v>46079</v>
      </c>
      <c r="AA246" s="1" t="s">
        <v>41</v>
      </c>
      <c r="AB246" s="1" t="s">
        <v>42</v>
      </c>
      <c r="AC246" t="b">
        <f t="shared" si="12"/>
        <v>0</v>
      </c>
      <c r="AD246" t="b">
        <f t="shared" si="13"/>
        <v>0</v>
      </c>
      <c r="AE246" t="b">
        <f t="shared" si="14"/>
        <v>0</v>
      </c>
      <c r="AF246" t="b">
        <f t="shared" si="15"/>
        <v>0</v>
      </c>
    </row>
    <row r="247" spans="1:32">
      <c r="A247" t="s">
        <v>1019</v>
      </c>
      <c r="B247" s="1" t="s">
        <v>1020</v>
      </c>
      <c r="C247" s="2">
        <v>46077.838599536997</v>
      </c>
      <c r="D247" s="1" t="s">
        <v>30</v>
      </c>
      <c r="E247" s="1" t="s">
        <v>1021</v>
      </c>
      <c r="F247" s="1" t="s">
        <v>361</v>
      </c>
      <c r="G247" s="3">
        <v>46078</v>
      </c>
      <c r="H247" s="1" t="s">
        <v>1022</v>
      </c>
      <c r="I247" s="1" t="s">
        <v>34</v>
      </c>
      <c r="J247" s="1" t="s">
        <v>232</v>
      </c>
      <c r="K247" s="1" t="s">
        <v>35</v>
      </c>
      <c r="L247" t="s">
        <v>361</v>
      </c>
      <c r="M247" s="1" t="s">
        <v>45</v>
      </c>
      <c r="N247" s="3">
        <v>46077</v>
      </c>
      <c r="O247" s="1" t="s">
        <v>30</v>
      </c>
      <c r="P247" s="4">
        <v>35000</v>
      </c>
      <c r="Q247" s="5">
        <v>14</v>
      </c>
      <c r="R247" s="1" t="s">
        <v>65</v>
      </c>
      <c r="S247" s="5">
        <v>3416</v>
      </c>
      <c r="T247" s="1" t="s">
        <v>39</v>
      </c>
      <c r="U247" s="4">
        <v>42892.5</v>
      </c>
      <c r="Y247" s="1" t="s">
        <v>72</v>
      </c>
      <c r="Z247" s="3">
        <v>46078</v>
      </c>
      <c r="AA247" s="1" t="s">
        <v>41</v>
      </c>
      <c r="AB247" s="1" t="s">
        <v>42</v>
      </c>
      <c r="AC247" t="b">
        <f t="shared" si="12"/>
        <v>0</v>
      </c>
      <c r="AD247" t="b">
        <f t="shared" si="13"/>
        <v>0</v>
      </c>
      <c r="AE247" t="b">
        <f t="shared" si="14"/>
        <v>0</v>
      </c>
      <c r="AF247" t="b">
        <f t="shared" si="15"/>
        <v>0</v>
      </c>
    </row>
    <row r="248" spans="1:32">
      <c r="A248" t="s">
        <v>1023</v>
      </c>
      <c r="B248" s="1" t="s">
        <v>1024</v>
      </c>
      <c r="C248" s="2">
        <v>46182.883148148103</v>
      </c>
      <c r="D248" s="1" t="s">
        <v>30</v>
      </c>
      <c r="E248" s="1" t="s">
        <v>1025</v>
      </c>
      <c r="F248" s="1" t="s">
        <v>266</v>
      </c>
      <c r="G248" s="3">
        <v>46182</v>
      </c>
      <c r="H248" s="1" t="s">
        <v>1026</v>
      </c>
      <c r="I248" s="1" t="s">
        <v>34</v>
      </c>
      <c r="J248" s="1" t="s">
        <v>35</v>
      </c>
      <c r="K248" s="1" t="s">
        <v>315</v>
      </c>
      <c r="L248" t="s">
        <v>266</v>
      </c>
      <c r="N248" s="3">
        <v>46182</v>
      </c>
      <c r="O248" s="1" t="s">
        <v>30</v>
      </c>
      <c r="P248" s="4">
        <v>35000</v>
      </c>
      <c r="Q248" s="5">
        <v>10</v>
      </c>
      <c r="R248" s="1" t="s">
        <v>38</v>
      </c>
      <c r="S248" s="5">
        <v>600</v>
      </c>
      <c r="T248" s="1" t="s">
        <v>39</v>
      </c>
      <c r="U248" s="4">
        <v>43791.99</v>
      </c>
      <c r="Y248" s="1" t="s">
        <v>72</v>
      </c>
      <c r="Z248" s="3">
        <v>46182</v>
      </c>
      <c r="AA248" s="1" t="s">
        <v>41</v>
      </c>
      <c r="AB248" s="1" t="s">
        <v>42</v>
      </c>
      <c r="AC248" t="b">
        <f t="shared" si="12"/>
        <v>0</v>
      </c>
      <c r="AD248" t="b">
        <f t="shared" si="13"/>
        <v>0</v>
      </c>
      <c r="AE248" t="b">
        <f t="shared" si="14"/>
        <v>0</v>
      </c>
      <c r="AF248" t="b">
        <f t="shared" si="15"/>
        <v>0</v>
      </c>
    </row>
    <row r="249" spans="1:32">
      <c r="A249" t="s">
        <v>1027</v>
      </c>
      <c r="B249" s="1" t="s">
        <v>1028</v>
      </c>
      <c r="C249" s="2">
        <v>46164.8445138889</v>
      </c>
      <c r="D249" s="1" t="s">
        <v>30</v>
      </c>
      <c r="E249" s="1" t="s">
        <v>1029</v>
      </c>
      <c r="F249" s="1" t="s">
        <v>810</v>
      </c>
      <c r="G249" s="3">
        <v>46164</v>
      </c>
      <c r="H249" s="1" t="s">
        <v>1030</v>
      </c>
      <c r="I249" s="1" t="s">
        <v>34</v>
      </c>
      <c r="J249" s="1" t="s">
        <v>103</v>
      </c>
      <c r="K249" s="1" t="s">
        <v>35</v>
      </c>
      <c r="L249" t="s">
        <v>810</v>
      </c>
      <c r="N249" s="3">
        <v>46164</v>
      </c>
      <c r="O249" s="1" t="s">
        <v>30</v>
      </c>
      <c r="P249" s="4">
        <v>35000</v>
      </c>
      <c r="Q249" s="5">
        <v>5</v>
      </c>
      <c r="R249" s="1" t="s">
        <v>38</v>
      </c>
      <c r="S249" s="5">
        <v>1500</v>
      </c>
      <c r="T249" s="1" t="s">
        <v>39</v>
      </c>
      <c r="U249" s="4">
        <v>45013.49</v>
      </c>
      <c r="Y249" s="1" t="s">
        <v>40</v>
      </c>
      <c r="Z249" s="3">
        <v>46164</v>
      </c>
      <c r="AA249" s="1" t="s">
        <v>41</v>
      </c>
      <c r="AB249" s="1" t="s">
        <v>42</v>
      </c>
      <c r="AC249" t="b">
        <f t="shared" si="12"/>
        <v>0</v>
      </c>
      <c r="AD249" t="b">
        <f t="shared" si="13"/>
        <v>0</v>
      </c>
      <c r="AE249" t="b">
        <f t="shared" si="14"/>
        <v>0</v>
      </c>
      <c r="AF249" t="b">
        <f t="shared" si="15"/>
        <v>0</v>
      </c>
    </row>
    <row r="250" spans="1:32">
      <c r="A250" t="s">
        <v>1031</v>
      </c>
      <c r="B250" s="1" t="s">
        <v>1032</v>
      </c>
      <c r="C250" s="2">
        <v>46136.489143518498</v>
      </c>
      <c r="D250" s="1" t="s">
        <v>30</v>
      </c>
      <c r="E250" s="1" t="s">
        <v>1025</v>
      </c>
      <c r="F250" s="1" t="s">
        <v>266</v>
      </c>
      <c r="G250" s="3">
        <v>46136</v>
      </c>
      <c r="H250" s="1" t="s">
        <v>1033</v>
      </c>
      <c r="I250" s="1" t="s">
        <v>34</v>
      </c>
      <c r="J250" s="1" t="s">
        <v>35</v>
      </c>
      <c r="K250" s="1" t="s">
        <v>1034</v>
      </c>
      <c r="L250" t="s">
        <v>266</v>
      </c>
      <c r="N250" s="3">
        <v>46136</v>
      </c>
      <c r="O250" s="1" t="s">
        <v>30</v>
      </c>
      <c r="P250" s="4">
        <v>35800</v>
      </c>
      <c r="Q250" s="5">
        <v>10</v>
      </c>
      <c r="R250" s="1" t="s">
        <v>38</v>
      </c>
      <c r="S250" s="5">
        <v>45</v>
      </c>
      <c r="T250" s="1" t="s">
        <v>39</v>
      </c>
      <c r="U250" s="4">
        <v>46081.75</v>
      </c>
      <c r="Y250" s="1" t="s">
        <v>72</v>
      </c>
      <c r="Z250" s="3">
        <v>46136</v>
      </c>
      <c r="AA250" s="1" t="s">
        <v>41</v>
      </c>
      <c r="AB250" s="1" t="s">
        <v>42</v>
      </c>
      <c r="AC250" t="b">
        <f t="shared" si="12"/>
        <v>0</v>
      </c>
      <c r="AD250" t="b">
        <f t="shared" si="13"/>
        <v>0</v>
      </c>
      <c r="AE250" t="b">
        <f t="shared" si="14"/>
        <v>0</v>
      </c>
      <c r="AF250" t="b">
        <f t="shared" si="15"/>
        <v>0</v>
      </c>
    </row>
    <row r="251" spans="1:32">
      <c r="A251" t="s">
        <v>1035</v>
      </c>
      <c r="B251" s="1" t="s">
        <v>1036</v>
      </c>
      <c r="C251" s="2">
        <v>46171.692488425899</v>
      </c>
      <c r="D251" s="1" t="s">
        <v>30</v>
      </c>
      <c r="E251" s="1" t="s">
        <v>308</v>
      </c>
      <c r="F251" s="1" t="s">
        <v>49</v>
      </c>
      <c r="G251" s="3">
        <v>46171</v>
      </c>
      <c r="H251" s="1" t="s">
        <v>1037</v>
      </c>
      <c r="I251" s="1" t="s">
        <v>63</v>
      </c>
      <c r="J251" s="1" t="s">
        <v>64</v>
      </c>
      <c r="K251" s="1" t="s">
        <v>35</v>
      </c>
      <c r="L251" t="s">
        <v>49</v>
      </c>
      <c r="N251" s="3">
        <v>46171</v>
      </c>
      <c r="O251" s="1" t="s">
        <v>30</v>
      </c>
      <c r="P251" s="4">
        <v>36000</v>
      </c>
      <c r="Q251" s="5">
        <v>1</v>
      </c>
      <c r="R251" s="1" t="s">
        <v>65</v>
      </c>
      <c r="T251" s="1" t="s">
        <v>39</v>
      </c>
      <c r="U251" s="4">
        <v>45791.99</v>
      </c>
      <c r="V251" s="5">
        <v>2</v>
      </c>
      <c r="W251" s="5">
        <v>0</v>
      </c>
      <c r="Y251" s="1" t="s">
        <v>51</v>
      </c>
      <c r="Z251" s="3">
        <v>46171</v>
      </c>
      <c r="AA251" s="1" t="s">
        <v>41</v>
      </c>
      <c r="AB251" s="1" t="s">
        <v>42</v>
      </c>
      <c r="AC251" t="b">
        <f t="shared" si="12"/>
        <v>0</v>
      </c>
      <c r="AD251" t="b">
        <f t="shared" si="13"/>
        <v>0</v>
      </c>
      <c r="AE251" t="b">
        <f t="shared" si="14"/>
        <v>0</v>
      </c>
      <c r="AF251" t="b">
        <f t="shared" si="15"/>
        <v>0</v>
      </c>
    </row>
    <row r="252" spans="1:32">
      <c r="A252" t="s">
        <v>1038</v>
      </c>
      <c r="B252" s="1" t="s">
        <v>1039</v>
      </c>
      <c r="C252" s="2">
        <v>46113.726944444403</v>
      </c>
      <c r="D252" s="1" t="s">
        <v>30</v>
      </c>
      <c r="E252" s="1" t="s">
        <v>625</v>
      </c>
      <c r="F252" s="1" t="s">
        <v>206</v>
      </c>
      <c r="G252" s="3">
        <v>46113</v>
      </c>
      <c r="H252" s="1" t="s">
        <v>1040</v>
      </c>
      <c r="I252" s="1" t="s">
        <v>34</v>
      </c>
      <c r="J252" s="1" t="s">
        <v>35</v>
      </c>
      <c r="K252" s="1" t="s">
        <v>280</v>
      </c>
      <c r="L252" t="s">
        <v>206</v>
      </c>
      <c r="N252" s="3">
        <v>46113</v>
      </c>
      <c r="O252" s="1" t="s">
        <v>30</v>
      </c>
      <c r="P252" s="4">
        <v>38000</v>
      </c>
      <c r="Q252" s="5">
        <v>2</v>
      </c>
      <c r="R252" s="1" t="s">
        <v>38</v>
      </c>
      <c r="S252" s="5">
        <v>15000</v>
      </c>
      <c r="T252" s="1" t="s">
        <v>39</v>
      </c>
      <c r="U252" s="4">
        <v>47378.41</v>
      </c>
      <c r="Y252" s="1" t="s">
        <v>58</v>
      </c>
      <c r="Z252" s="3">
        <v>46113</v>
      </c>
      <c r="AA252" s="1" t="s">
        <v>41</v>
      </c>
      <c r="AB252" s="1" t="s">
        <v>42</v>
      </c>
      <c r="AC252" t="b">
        <f t="shared" si="12"/>
        <v>0</v>
      </c>
      <c r="AD252" t="b">
        <f t="shared" si="13"/>
        <v>0</v>
      </c>
      <c r="AE252" t="b">
        <f t="shared" si="14"/>
        <v>0</v>
      </c>
      <c r="AF252" t="b">
        <f t="shared" si="15"/>
        <v>0</v>
      </c>
    </row>
    <row r="253" spans="1:32">
      <c r="A253" t="s">
        <v>1041</v>
      </c>
      <c r="B253" s="1" t="s">
        <v>1042</v>
      </c>
      <c r="C253" s="2">
        <v>46156.504629629599</v>
      </c>
      <c r="D253" s="1" t="s">
        <v>30</v>
      </c>
      <c r="E253" s="1" t="s">
        <v>1043</v>
      </c>
      <c r="F253" s="1" t="s">
        <v>636</v>
      </c>
      <c r="G253" s="3">
        <v>46161</v>
      </c>
      <c r="H253" s="1" t="s">
        <v>1044</v>
      </c>
      <c r="I253" s="1" t="s">
        <v>34</v>
      </c>
      <c r="J253" s="1" t="s">
        <v>35</v>
      </c>
      <c r="K253" s="1" t="s">
        <v>244</v>
      </c>
      <c r="L253" t="s">
        <v>636</v>
      </c>
      <c r="M253" s="1" t="s">
        <v>37</v>
      </c>
      <c r="N253" s="3">
        <v>46156</v>
      </c>
      <c r="O253" s="1" t="s">
        <v>30</v>
      </c>
      <c r="P253" s="4">
        <v>40000</v>
      </c>
      <c r="Q253" s="5">
        <v>2</v>
      </c>
      <c r="R253" s="1" t="s">
        <v>38</v>
      </c>
      <c r="S253" s="5">
        <v>3000</v>
      </c>
      <c r="T253" s="1" t="s">
        <v>39</v>
      </c>
      <c r="U253" s="4">
        <v>52124.02</v>
      </c>
      <c r="Y253" s="1" t="s">
        <v>58</v>
      </c>
      <c r="Z253" s="3">
        <v>46161</v>
      </c>
      <c r="AA253" s="1" t="s">
        <v>41</v>
      </c>
      <c r="AB253" s="1" t="s">
        <v>42</v>
      </c>
      <c r="AC253" t="b">
        <f t="shared" si="12"/>
        <v>0</v>
      </c>
      <c r="AD253" t="b">
        <f t="shared" si="13"/>
        <v>0</v>
      </c>
      <c r="AE253" t="b">
        <f t="shared" si="14"/>
        <v>0</v>
      </c>
      <c r="AF253" t="b">
        <f t="shared" si="15"/>
        <v>0</v>
      </c>
    </row>
    <row r="254" spans="1:32">
      <c r="A254" t="s">
        <v>1045</v>
      </c>
      <c r="B254" s="1" t="s">
        <v>1046</v>
      </c>
      <c r="C254" s="2">
        <v>46114.0863425926</v>
      </c>
      <c r="D254" s="1" t="s">
        <v>30</v>
      </c>
      <c r="E254" s="1" t="s">
        <v>360</v>
      </c>
      <c r="F254" s="1" t="s">
        <v>361</v>
      </c>
      <c r="G254" s="3">
        <v>46036</v>
      </c>
      <c r="H254" s="1" t="s">
        <v>1047</v>
      </c>
      <c r="I254" s="1" t="s">
        <v>34</v>
      </c>
      <c r="J254" s="1" t="s">
        <v>563</v>
      </c>
      <c r="K254" s="1" t="s">
        <v>35</v>
      </c>
      <c r="L254" t="s">
        <v>361</v>
      </c>
      <c r="M254" s="1" t="s">
        <v>45</v>
      </c>
      <c r="N254" s="3">
        <v>46036</v>
      </c>
      <c r="O254" s="1" t="s">
        <v>30</v>
      </c>
      <c r="P254" s="4">
        <v>40000</v>
      </c>
      <c r="Q254" s="5">
        <v>1</v>
      </c>
      <c r="R254" s="1" t="s">
        <v>65</v>
      </c>
      <c r="S254" s="5">
        <v>2200</v>
      </c>
      <c r="T254" s="1" t="s">
        <v>39</v>
      </c>
      <c r="U254" s="4">
        <v>47652</v>
      </c>
      <c r="Y254" s="1" t="s">
        <v>72</v>
      </c>
      <c r="Z254" s="3">
        <v>46036</v>
      </c>
      <c r="AA254" s="1" t="s">
        <v>41</v>
      </c>
      <c r="AB254" s="1" t="s">
        <v>42</v>
      </c>
      <c r="AC254" t="b">
        <f t="shared" si="12"/>
        <v>0</v>
      </c>
      <c r="AD254" t="b">
        <f t="shared" si="13"/>
        <v>0</v>
      </c>
      <c r="AE254" t="b">
        <f t="shared" si="14"/>
        <v>0</v>
      </c>
      <c r="AF254" t="b">
        <f t="shared" si="15"/>
        <v>0</v>
      </c>
    </row>
    <row r="255" spans="1:32">
      <c r="A255" t="s">
        <v>1048</v>
      </c>
      <c r="B255" s="1" t="s">
        <v>1049</v>
      </c>
      <c r="C255" s="2">
        <v>46035.477407407401</v>
      </c>
      <c r="D255" s="1" t="s">
        <v>30</v>
      </c>
      <c r="E255" s="1" t="s">
        <v>1050</v>
      </c>
      <c r="F255" s="1" t="s">
        <v>101</v>
      </c>
      <c r="G255" s="3">
        <v>46035</v>
      </c>
      <c r="H255" s="1" t="s">
        <v>1051</v>
      </c>
      <c r="I255" s="1" t="s">
        <v>34</v>
      </c>
      <c r="J255" s="1" t="s">
        <v>244</v>
      </c>
      <c r="K255" s="1" t="s">
        <v>35</v>
      </c>
      <c r="L255" t="s">
        <v>101</v>
      </c>
      <c r="N255" s="3">
        <v>46035</v>
      </c>
      <c r="O255" s="1" t="s">
        <v>30</v>
      </c>
      <c r="P255" s="4">
        <v>40000</v>
      </c>
      <c r="Q255" s="5">
        <v>41</v>
      </c>
      <c r="R255" s="1" t="s">
        <v>38</v>
      </c>
      <c r="S255" s="5">
        <v>7000</v>
      </c>
      <c r="T255" s="1" t="s">
        <v>39</v>
      </c>
      <c r="U255" s="4">
        <v>47664</v>
      </c>
      <c r="Y255" s="1" t="s">
        <v>72</v>
      </c>
      <c r="Z255" s="3">
        <v>46035</v>
      </c>
      <c r="AA255" s="1" t="s">
        <v>41</v>
      </c>
      <c r="AB255" s="1" t="s">
        <v>42</v>
      </c>
      <c r="AC255" t="b">
        <f t="shared" si="12"/>
        <v>0</v>
      </c>
      <c r="AD255" t="b">
        <f t="shared" si="13"/>
        <v>0</v>
      </c>
      <c r="AE255" t="b">
        <f t="shared" si="14"/>
        <v>0</v>
      </c>
      <c r="AF255" t="b">
        <f t="shared" si="15"/>
        <v>0</v>
      </c>
    </row>
    <row r="256" spans="1:32">
      <c r="A256" t="s">
        <v>1052</v>
      </c>
      <c r="B256" s="1" t="s">
        <v>1053</v>
      </c>
      <c r="C256" s="2">
        <v>46108.489664351902</v>
      </c>
      <c r="D256" s="1" t="s">
        <v>30</v>
      </c>
      <c r="E256" s="1" t="s">
        <v>1054</v>
      </c>
      <c r="F256" s="1" t="s">
        <v>612</v>
      </c>
      <c r="G256" s="3">
        <v>46107</v>
      </c>
      <c r="H256" s="1" t="s">
        <v>1055</v>
      </c>
      <c r="I256" s="1" t="s">
        <v>63</v>
      </c>
      <c r="J256" s="1" t="s">
        <v>232</v>
      </c>
      <c r="K256" s="1" t="s">
        <v>35</v>
      </c>
      <c r="L256" t="s">
        <v>612</v>
      </c>
      <c r="M256" s="1" t="s">
        <v>45</v>
      </c>
      <c r="N256" s="3">
        <v>46108</v>
      </c>
      <c r="O256" s="1" t="s">
        <v>30</v>
      </c>
      <c r="P256" s="4">
        <v>40000</v>
      </c>
      <c r="Q256" s="5">
        <v>5</v>
      </c>
      <c r="R256" s="1" t="s">
        <v>38</v>
      </c>
      <c r="T256" s="1" t="s">
        <v>39</v>
      </c>
      <c r="U256" s="4">
        <v>49455.99</v>
      </c>
      <c r="V256" s="5">
        <v>10</v>
      </c>
      <c r="W256" s="5">
        <v>0</v>
      </c>
      <c r="Y256" s="1" t="s">
        <v>51</v>
      </c>
      <c r="Z256" s="3">
        <v>46107</v>
      </c>
      <c r="AA256" s="1" t="s">
        <v>41</v>
      </c>
      <c r="AB256" s="1" t="s">
        <v>42</v>
      </c>
      <c r="AC256" t="b">
        <f t="shared" si="12"/>
        <v>0</v>
      </c>
      <c r="AD256" t="b">
        <f t="shared" si="13"/>
        <v>0</v>
      </c>
      <c r="AE256" t="b">
        <f t="shared" si="14"/>
        <v>0</v>
      </c>
      <c r="AF256" t="b">
        <f t="shared" si="15"/>
        <v>0</v>
      </c>
    </row>
    <row r="257" spans="1:32">
      <c r="A257" t="s">
        <v>1056</v>
      </c>
      <c r="B257" s="1" t="s">
        <v>1057</v>
      </c>
      <c r="C257" s="2">
        <v>46094.050844907397</v>
      </c>
      <c r="D257" s="1" t="s">
        <v>30</v>
      </c>
      <c r="E257" s="1" t="s">
        <v>1058</v>
      </c>
      <c r="F257" s="1" t="s">
        <v>1059</v>
      </c>
      <c r="G257" s="3">
        <v>46093</v>
      </c>
      <c r="H257" s="1" t="s">
        <v>1060</v>
      </c>
      <c r="I257" s="1" t="s">
        <v>34</v>
      </c>
      <c r="J257" s="1" t="s">
        <v>35</v>
      </c>
      <c r="K257" s="1" t="s">
        <v>244</v>
      </c>
      <c r="L257" t="s">
        <v>1059</v>
      </c>
      <c r="N257" s="3">
        <v>46093</v>
      </c>
      <c r="O257" s="1" t="s">
        <v>30</v>
      </c>
      <c r="P257" s="4">
        <v>40000</v>
      </c>
      <c r="Q257" s="5">
        <v>1</v>
      </c>
      <c r="R257" s="1" t="s">
        <v>38</v>
      </c>
      <c r="S257" s="5">
        <v>1000</v>
      </c>
      <c r="T257" s="1" t="s">
        <v>39</v>
      </c>
      <c r="U257" s="4">
        <v>50048</v>
      </c>
      <c r="Y257" s="1" t="s">
        <v>58</v>
      </c>
      <c r="Z257" s="3">
        <v>46093</v>
      </c>
      <c r="AA257" s="1" t="s">
        <v>41</v>
      </c>
      <c r="AB257" s="1" t="s">
        <v>42</v>
      </c>
      <c r="AC257" t="b">
        <f t="shared" si="12"/>
        <v>1</v>
      </c>
      <c r="AD257" t="b">
        <f t="shared" si="13"/>
        <v>0</v>
      </c>
      <c r="AE257" t="b">
        <f t="shared" si="14"/>
        <v>0</v>
      </c>
      <c r="AF257" t="b">
        <f t="shared" si="15"/>
        <v>0</v>
      </c>
    </row>
    <row r="258" spans="1:32">
      <c r="A258" t="s">
        <v>1061</v>
      </c>
      <c r="B258" s="1" t="s">
        <v>1062</v>
      </c>
      <c r="C258" s="2">
        <v>46175.881886574098</v>
      </c>
      <c r="D258" s="1" t="s">
        <v>30</v>
      </c>
      <c r="E258" s="1" t="s">
        <v>1063</v>
      </c>
      <c r="F258" s="1" t="s">
        <v>1059</v>
      </c>
      <c r="G258" s="3">
        <v>46176</v>
      </c>
      <c r="H258" s="1" t="s">
        <v>1064</v>
      </c>
      <c r="I258" s="1" t="s">
        <v>34</v>
      </c>
      <c r="J258" s="1" t="s">
        <v>35</v>
      </c>
      <c r="K258" s="1" t="s">
        <v>35</v>
      </c>
      <c r="L258" t="s">
        <v>1059</v>
      </c>
      <c r="N258" s="3">
        <v>46175</v>
      </c>
      <c r="O258" s="1" t="s">
        <v>30</v>
      </c>
      <c r="P258" s="4">
        <v>40000</v>
      </c>
      <c r="Q258" s="5">
        <v>8</v>
      </c>
      <c r="R258" s="1" t="s">
        <v>38</v>
      </c>
      <c r="S258" s="5">
        <v>500</v>
      </c>
      <c r="T258" s="1" t="s">
        <v>39</v>
      </c>
      <c r="U258" s="4">
        <v>51183.99</v>
      </c>
      <c r="Y258" s="1" t="s">
        <v>58</v>
      </c>
      <c r="Z258" s="3">
        <v>46176</v>
      </c>
      <c r="AA258" s="1" t="s">
        <v>41</v>
      </c>
      <c r="AB258" s="1" t="s">
        <v>42</v>
      </c>
      <c r="AC258" t="b">
        <f t="shared" ref="AC258:AC321" si="16">ISNUMBER( SEARCH("HOT",H258))</f>
        <v>0</v>
      </c>
      <c r="AD258" t="b">
        <f t="shared" ref="AD258:AD321" si="17">ISNUMBER( SEARCH("COMM",H258))</f>
        <v>0</v>
      </c>
      <c r="AE258" t="b">
        <f t="shared" ref="AE258:AE321" si="18">ISNUMBER( SEARCH("REEFER",H258))</f>
        <v>0</v>
      </c>
      <c r="AF258" t="b">
        <f t="shared" ref="AF258:AF321" si="19">ISNUMBER( SEARCH("P01",H258))</f>
        <v>0</v>
      </c>
    </row>
    <row r="259" spans="1:32">
      <c r="A259" t="s">
        <v>1065</v>
      </c>
      <c r="B259" s="1" t="s">
        <v>1066</v>
      </c>
      <c r="C259" s="2">
        <v>46090.574247685203</v>
      </c>
      <c r="D259" s="1" t="s">
        <v>30</v>
      </c>
      <c r="E259" s="1" t="s">
        <v>322</v>
      </c>
      <c r="F259" s="1" t="s">
        <v>69</v>
      </c>
      <c r="G259" s="3">
        <v>46090</v>
      </c>
      <c r="H259" s="1" t="s">
        <v>323</v>
      </c>
      <c r="I259" s="1" t="s">
        <v>63</v>
      </c>
      <c r="J259" s="1" t="s">
        <v>181</v>
      </c>
      <c r="K259" s="1" t="s">
        <v>35</v>
      </c>
      <c r="L259" t="s">
        <v>69</v>
      </c>
      <c r="N259" s="3">
        <v>46090</v>
      </c>
      <c r="O259" s="1" t="s">
        <v>30</v>
      </c>
      <c r="P259" s="4">
        <v>40000</v>
      </c>
      <c r="Q259" s="5">
        <v>40</v>
      </c>
      <c r="R259" s="1" t="s">
        <v>38</v>
      </c>
      <c r="T259" s="1" t="s">
        <v>39</v>
      </c>
      <c r="U259" s="4">
        <v>48875.99</v>
      </c>
      <c r="V259" s="5">
        <v>0</v>
      </c>
      <c r="W259" s="5">
        <v>60</v>
      </c>
      <c r="Y259" s="1" t="s">
        <v>72</v>
      </c>
      <c r="Z259" s="3">
        <v>46090</v>
      </c>
      <c r="AA259" s="1" t="s">
        <v>41</v>
      </c>
      <c r="AB259" s="1" t="s">
        <v>42</v>
      </c>
      <c r="AC259" t="b">
        <f t="shared" si="16"/>
        <v>0</v>
      </c>
      <c r="AD259" t="b">
        <f t="shared" si="17"/>
        <v>0</v>
      </c>
      <c r="AE259" t="b">
        <f t="shared" si="18"/>
        <v>0</v>
      </c>
      <c r="AF259" t="b">
        <f t="shared" si="19"/>
        <v>0</v>
      </c>
    </row>
    <row r="260" spans="1:32">
      <c r="A260" t="s">
        <v>1067</v>
      </c>
      <c r="B260" s="1" t="s">
        <v>1068</v>
      </c>
      <c r="C260" s="2">
        <v>46029.809768518498</v>
      </c>
      <c r="D260" s="1" t="s">
        <v>30</v>
      </c>
      <c r="E260" s="1" t="s">
        <v>68</v>
      </c>
      <c r="F260" s="1" t="s">
        <v>69</v>
      </c>
      <c r="G260" s="3">
        <v>46029</v>
      </c>
      <c r="H260" s="1" t="s">
        <v>70</v>
      </c>
      <c r="I260" s="1" t="s">
        <v>63</v>
      </c>
      <c r="J260" s="1" t="s">
        <v>35</v>
      </c>
      <c r="K260" s="1" t="s">
        <v>57</v>
      </c>
      <c r="L260" t="s">
        <v>69</v>
      </c>
      <c r="N260" s="3">
        <v>46029</v>
      </c>
      <c r="O260" s="1" t="s">
        <v>30</v>
      </c>
      <c r="P260" s="4">
        <v>42000</v>
      </c>
      <c r="Q260" s="5">
        <v>150</v>
      </c>
      <c r="R260" s="1" t="s">
        <v>38</v>
      </c>
      <c r="T260" s="1" t="s">
        <v>39</v>
      </c>
      <c r="U260" s="4">
        <v>49870.81</v>
      </c>
      <c r="V260" s="5">
        <v>0</v>
      </c>
      <c r="W260" s="5">
        <v>525</v>
      </c>
      <c r="Y260" s="1" t="s">
        <v>72</v>
      </c>
      <c r="Z260" s="3">
        <v>46029</v>
      </c>
      <c r="AA260" s="1" t="s">
        <v>41</v>
      </c>
      <c r="AB260" s="1" t="s">
        <v>42</v>
      </c>
      <c r="AC260" t="b">
        <f t="shared" si="16"/>
        <v>0</v>
      </c>
      <c r="AD260" t="b">
        <f t="shared" si="17"/>
        <v>0</v>
      </c>
      <c r="AE260" t="b">
        <f t="shared" si="18"/>
        <v>0</v>
      </c>
      <c r="AF260" t="b">
        <f t="shared" si="19"/>
        <v>0</v>
      </c>
    </row>
    <row r="261" spans="1:32">
      <c r="A261" t="s">
        <v>1069</v>
      </c>
      <c r="B261" s="1" t="s">
        <v>1070</v>
      </c>
      <c r="C261" s="2">
        <v>46174.7660300926</v>
      </c>
      <c r="D261" s="1" t="s">
        <v>30</v>
      </c>
      <c r="E261" s="1" t="s">
        <v>1071</v>
      </c>
      <c r="F261" s="1" t="s">
        <v>487</v>
      </c>
      <c r="G261" s="3">
        <v>46174</v>
      </c>
      <c r="H261" s="1" t="s">
        <v>1072</v>
      </c>
      <c r="I261" s="1" t="s">
        <v>34</v>
      </c>
      <c r="J261" s="1" t="s">
        <v>244</v>
      </c>
      <c r="K261" s="1" t="s">
        <v>35</v>
      </c>
      <c r="L261" t="s">
        <v>487</v>
      </c>
      <c r="M261" s="1" t="s">
        <v>45</v>
      </c>
      <c r="N261" s="3">
        <v>46174</v>
      </c>
      <c r="O261" s="1" t="s">
        <v>30</v>
      </c>
      <c r="P261" s="4">
        <v>43000</v>
      </c>
      <c r="Q261" s="5">
        <v>7</v>
      </c>
      <c r="R261" s="1" t="s">
        <v>38</v>
      </c>
      <c r="S261" s="5">
        <v>7950</v>
      </c>
      <c r="T261" s="1" t="s">
        <v>39</v>
      </c>
      <c r="U261" s="4">
        <v>54790.61</v>
      </c>
      <c r="Y261" s="1" t="s">
        <v>72</v>
      </c>
      <c r="Z261" s="3">
        <v>46174</v>
      </c>
      <c r="AA261" s="1" t="s">
        <v>41</v>
      </c>
      <c r="AB261" s="1" t="s">
        <v>42</v>
      </c>
      <c r="AC261" t="b">
        <f t="shared" si="16"/>
        <v>0</v>
      </c>
      <c r="AD261" t="b">
        <f t="shared" si="17"/>
        <v>0</v>
      </c>
      <c r="AE261" t="b">
        <f t="shared" si="18"/>
        <v>0</v>
      </c>
      <c r="AF261" t="b">
        <f t="shared" si="19"/>
        <v>0</v>
      </c>
    </row>
    <row r="262" spans="1:32">
      <c r="A262" t="s">
        <v>1073</v>
      </c>
      <c r="B262" s="1" t="s">
        <v>1074</v>
      </c>
      <c r="C262" s="2">
        <v>46136.477129629602</v>
      </c>
      <c r="D262" s="1" t="s">
        <v>30</v>
      </c>
      <c r="E262" s="1" t="s">
        <v>1075</v>
      </c>
      <c r="F262" s="1" t="s">
        <v>266</v>
      </c>
      <c r="G262" s="3">
        <v>46136</v>
      </c>
      <c r="H262" s="1" t="s">
        <v>1076</v>
      </c>
      <c r="I262" s="1" t="s">
        <v>34</v>
      </c>
      <c r="J262" s="1" t="s">
        <v>1077</v>
      </c>
      <c r="K262" s="1" t="s">
        <v>35</v>
      </c>
      <c r="L262" t="s">
        <v>266</v>
      </c>
      <c r="N262" s="3">
        <v>46136</v>
      </c>
      <c r="O262" s="1" t="s">
        <v>30</v>
      </c>
      <c r="P262" s="4">
        <v>44000</v>
      </c>
      <c r="Q262" s="5">
        <v>10</v>
      </c>
      <c r="R262" s="1" t="s">
        <v>38</v>
      </c>
      <c r="S262" s="5">
        <v>210</v>
      </c>
      <c r="T262" s="1" t="s">
        <v>39</v>
      </c>
      <c r="U262" s="4">
        <v>56636.79</v>
      </c>
      <c r="Y262" s="1" t="s">
        <v>72</v>
      </c>
      <c r="Z262" s="3">
        <v>46136</v>
      </c>
      <c r="AA262" s="1" t="s">
        <v>41</v>
      </c>
      <c r="AB262" s="1" t="s">
        <v>42</v>
      </c>
      <c r="AC262" t="b">
        <f t="shared" si="16"/>
        <v>0</v>
      </c>
      <c r="AD262" t="b">
        <f t="shared" si="17"/>
        <v>1</v>
      </c>
      <c r="AE262" t="b">
        <f t="shared" si="18"/>
        <v>0</v>
      </c>
      <c r="AF262" t="b">
        <f t="shared" si="19"/>
        <v>0</v>
      </c>
    </row>
    <row r="263" spans="1:32">
      <c r="A263" t="s">
        <v>1078</v>
      </c>
      <c r="B263" s="1" t="s">
        <v>1079</v>
      </c>
      <c r="C263" s="2">
        <v>46043.752060185201</v>
      </c>
      <c r="D263" s="1" t="s">
        <v>30</v>
      </c>
      <c r="E263" s="1" t="s">
        <v>1080</v>
      </c>
      <c r="F263" s="1" t="s">
        <v>1081</v>
      </c>
      <c r="G263" s="3">
        <v>46045</v>
      </c>
      <c r="H263" s="1" t="s">
        <v>1082</v>
      </c>
      <c r="I263" s="1" t="s">
        <v>63</v>
      </c>
      <c r="J263" s="1" t="s">
        <v>1083</v>
      </c>
      <c r="K263" s="1" t="s">
        <v>35</v>
      </c>
      <c r="L263" t="s">
        <v>1081</v>
      </c>
      <c r="N263" s="3">
        <v>46043</v>
      </c>
      <c r="O263" s="1" t="s">
        <v>30</v>
      </c>
      <c r="P263" s="4">
        <v>45000</v>
      </c>
      <c r="Q263" s="5">
        <v>2</v>
      </c>
      <c r="R263" s="1" t="s">
        <v>38</v>
      </c>
      <c r="T263" s="1" t="s">
        <v>39</v>
      </c>
      <c r="U263" s="4">
        <v>53554.52</v>
      </c>
      <c r="V263" s="5">
        <v>4</v>
      </c>
      <c r="W263" s="5">
        <v>0</v>
      </c>
      <c r="Y263" s="1" t="s">
        <v>58</v>
      </c>
      <c r="Z263" s="3">
        <v>46045</v>
      </c>
      <c r="AA263" s="1" t="s">
        <v>41</v>
      </c>
      <c r="AB263" s="1" t="s">
        <v>42</v>
      </c>
      <c r="AC263" t="b">
        <f t="shared" si="16"/>
        <v>0</v>
      </c>
      <c r="AD263" t="b">
        <f t="shared" si="17"/>
        <v>0</v>
      </c>
      <c r="AE263" t="b">
        <f t="shared" si="18"/>
        <v>0</v>
      </c>
      <c r="AF263" t="b">
        <f t="shared" si="19"/>
        <v>0</v>
      </c>
    </row>
    <row r="264" spans="1:32">
      <c r="A264" t="s">
        <v>1084</v>
      </c>
      <c r="B264" s="1" t="s">
        <v>1085</v>
      </c>
      <c r="C264" s="2">
        <v>46156.809166666702</v>
      </c>
      <c r="D264" s="1" t="s">
        <v>30</v>
      </c>
      <c r="E264" s="1" t="s">
        <v>304</v>
      </c>
      <c r="F264" s="1" t="s">
        <v>112</v>
      </c>
      <c r="G264" s="3">
        <v>46172</v>
      </c>
      <c r="H264" s="1" t="s">
        <v>1086</v>
      </c>
      <c r="I264" s="1" t="s">
        <v>34</v>
      </c>
      <c r="J264" s="1" t="s">
        <v>144</v>
      </c>
      <c r="K264" s="1" t="s">
        <v>35</v>
      </c>
      <c r="L264" t="s">
        <v>112</v>
      </c>
      <c r="M264" s="1" t="s">
        <v>45</v>
      </c>
      <c r="N264" s="3">
        <v>46156</v>
      </c>
      <c r="O264" s="1" t="s">
        <v>30</v>
      </c>
      <c r="P264" s="4">
        <v>45000</v>
      </c>
      <c r="Q264" s="5">
        <v>1</v>
      </c>
      <c r="R264" s="1" t="s">
        <v>38</v>
      </c>
      <c r="S264" s="5">
        <v>3360</v>
      </c>
      <c r="T264" s="1" t="s">
        <v>39</v>
      </c>
      <c r="U264" s="4">
        <v>58639.519999999997</v>
      </c>
      <c r="Y264" s="1" t="s">
        <v>115</v>
      </c>
      <c r="Z264" s="3">
        <v>46172</v>
      </c>
      <c r="AA264" s="1" t="s">
        <v>41</v>
      </c>
      <c r="AB264" s="1" t="s">
        <v>42</v>
      </c>
      <c r="AC264" t="b">
        <f t="shared" si="16"/>
        <v>0</v>
      </c>
      <c r="AD264" t="b">
        <f t="shared" si="17"/>
        <v>0</v>
      </c>
      <c r="AE264" t="b">
        <f t="shared" si="18"/>
        <v>0</v>
      </c>
      <c r="AF264" t="b">
        <f t="shared" si="19"/>
        <v>0</v>
      </c>
    </row>
    <row r="265" spans="1:32">
      <c r="A265" t="s">
        <v>1087</v>
      </c>
      <c r="B265" s="1" t="s">
        <v>1088</v>
      </c>
      <c r="C265" s="2">
        <v>46072.716469907398</v>
      </c>
      <c r="D265" s="1" t="s">
        <v>30</v>
      </c>
      <c r="E265" s="1" t="s">
        <v>1089</v>
      </c>
      <c r="F265" s="1" t="s">
        <v>1081</v>
      </c>
      <c r="G265" s="3">
        <v>46073</v>
      </c>
      <c r="H265" s="1" t="s">
        <v>1090</v>
      </c>
      <c r="I265" s="1" t="s">
        <v>34</v>
      </c>
      <c r="J265" s="1" t="s">
        <v>35</v>
      </c>
      <c r="K265" s="1" t="s">
        <v>136</v>
      </c>
      <c r="L265" t="s">
        <v>1081</v>
      </c>
      <c r="N265" s="3">
        <v>46072</v>
      </c>
      <c r="O265" s="1" t="s">
        <v>30</v>
      </c>
      <c r="P265" s="4">
        <v>45000</v>
      </c>
      <c r="Q265" s="5">
        <v>1</v>
      </c>
      <c r="R265" s="1" t="s">
        <v>38</v>
      </c>
      <c r="S265" s="5">
        <v>2000</v>
      </c>
      <c r="T265" s="1" t="s">
        <v>39</v>
      </c>
      <c r="U265" s="4">
        <v>54611.98</v>
      </c>
      <c r="Y265" s="1" t="s">
        <v>58</v>
      </c>
      <c r="Z265" s="3">
        <v>46073</v>
      </c>
      <c r="AA265" s="1" t="s">
        <v>41</v>
      </c>
      <c r="AB265" s="1" t="s">
        <v>42</v>
      </c>
      <c r="AC265" t="b">
        <f t="shared" si="16"/>
        <v>0</v>
      </c>
      <c r="AD265" t="b">
        <f t="shared" si="17"/>
        <v>0</v>
      </c>
      <c r="AE265" t="b">
        <f t="shared" si="18"/>
        <v>0</v>
      </c>
      <c r="AF265" t="b">
        <f t="shared" si="19"/>
        <v>0</v>
      </c>
    </row>
    <row r="266" spans="1:32">
      <c r="A266" t="s">
        <v>1091</v>
      </c>
      <c r="B266" s="1" t="s">
        <v>1092</v>
      </c>
      <c r="C266" s="2">
        <v>46169.622499999998</v>
      </c>
      <c r="D266" s="1" t="s">
        <v>30</v>
      </c>
      <c r="E266" s="1" t="s">
        <v>438</v>
      </c>
      <c r="F266" s="1" t="s">
        <v>348</v>
      </c>
      <c r="G266" s="3">
        <v>46169</v>
      </c>
      <c r="H266" s="1" t="s">
        <v>1093</v>
      </c>
      <c r="I266" s="1" t="s">
        <v>63</v>
      </c>
      <c r="J266" s="1" t="s">
        <v>202</v>
      </c>
      <c r="K266" s="1" t="s">
        <v>35</v>
      </c>
      <c r="L266" t="s">
        <v>348</v>
      </c>
      <c r="M266" s="1" t="s">
        <v>45</v>
      </c>
      <c r="N266" s="3">
        <v>46169</v>
      </c>
      <c r="O266" s="1" t="s">
        <v>30</v>
      </c>
      <c r="P266" s="4">
        <v>45000</v>
      </c>
      <c r="Q266" s="5">
        <v>1</v>
      </c>
      <c r="R266" s="1" t="s">
        <v>38</v>
      </c>
      <c r="T266" s="1" t="s">
        <v>39</v>
      </c>
      <c r="U266" s="4">
        <v>57811.49</v>
      </c>
      <c r="V266" s="5">
        <v>6</v>
      </c>
      <c r="W266" s="5">
        <v>0</v>
      </c>
      <c r="Y266" s="1" t="s">
        <v>227</v>
      </c>
      <c r="Z266" s="3">
        <v>46169</v>
      </c>
      <c r="AA266" s="1" t="s">
        <v>41</v>
      </c>
      <c r="AB266" s="1" t="s">
        <v>42</v>
      </c>
      <c r="AC266" t="b">
        <f t="shared" si="16"/>
        <v>0</v>
      </c>
      <c r="AD266" t="b">
        <f t="shared" si="17"/>
        <v>0</v>
      </c>
      <c r="AE266" t="b">
        <f t="shared" si="18"/>
        <v>0</v>
      </c>
      <c r="AF266" t="b">
        <f t="shared" si="19"/>
        <v>0</v>
      </c>
    </row>
    <row r="267" spans="1:32">
      <c r="A267" t="s">
        <v>1094</v>
      </c>
      <c r="B267" s="1" t="s">
        <v>1095</v>
      </c>
      <c r="C267" s="2">
        <v>46066.581192129597</v>
      </c>
      <c r="D267" s="1" t="s">
        <v>30</v>
      </c>
      <c r="E267" s="1" t="s">
        <v>1096</v>
      </c>
      <c r="F267" s="1" t="s">
        <v>1081</v>
      </c>
      <c r="G267" s="3">
        <v>46065</v>
      </c>
      <c r="H267" s="1" t="s">
        <v>1097</v>
      </c>
      <c r="I267" s="1" t="s">
        <v>63</v>
      </c>
      <c r="J267" s="1" t="s">
        <v>35</v>
      </c>
      <c r="K267" s="1" t="s">
        <v>563</v>
      </c>
      <c r="L267" t="s">
        <v>1081</v>
      </c>
      <c r="N267" s="3">
        <v>46066</v>
      </c>
      <c r="O267" s="1" t="s">
        <v>30</v>
      </c>
      <c r="P267" s="4">
        <v>46000</v>
      </c>
      <c r="Q267" s="5">
        <v>2</v>
      </c>
      <c r="R267" s="1" t="s">
        <v>65</v>
      </c>
      <c r="T267" s="1" t="s">
        <v>39</v>
      </c>
      <c r="U267" s="4">
        <v>55922.21</v>
      </c>
      <c r="V267" s="5">
        <v>4</v>
      </c>
      <c r="W267" s="5">
        <v>10</v>
      </c>
      <c r="Y267" s="1" t="s">
        <v>58</v>
      </c>
      <c r="Z267" s="3">
        <v>46065</v>
      </c>
      <c r="AA267" s="1" t="s">
        <v>41</v>
      </c>
      <c r="AB267" s="1" t="s">
        <v>42</v>
      </c>
      <c r="AC267" t="b">
        <f t="shared" si="16"/>
        <v>0</v>
      </c>
      <c r="AD267" t="b">
        <f t="shared" si="17"/>
        <v>0</v>
      </c>
      <c r="AE267" t="b">
        <f t="shared" si="18"/>
        <v>0</v>
      </c>
      <c r="AF267" t="b">
        <f t="shared" si="19"/>
        <v>0</v>
      </c>
    </row>
    <row r="268" spans="1:32">
      <c r="A268" t="s">
        <v>1098</v>
      </c>
      <c r="B268" s="1" t="s">
        <v>1099</v>
      </c>
      <c r="C268" s="2">
        <v>46178.658240740697</v>
      </c>
      <c r="D268" s="1" t="s">
        <v>30</v>
      </c>
      <c r="E268" s="1" t="s">
        <v>1100</v>
      </c>
      <c r="F268" s="1" t="s">
        <v>328</v>
      </c>
      <c r="H268" s="1" t="s">
        <v>1101</v>
      </c>
      <c r="I268" s="1" t="s">
        <v>63</v>
      </c>
      <c r="J268" s="1" t="s">
        <v>35</v>
      </c>
      <c r="K268" s="1" t="s">
        <v>1102</v>
      </c>
      <c r="L268" t="s">
        <v>328</v>
      </c>
      <c r="M268" s="1" t="s">
        <v>37</v>
      </c>
      <c r="O268" s="1" t="s">
        <v>30</v>
      </c>
      <c r="P268" s="4">
        <v>46806</v>
      </c>
      <c r="Q268" s="5">
        <v>1</v>
      </c>
      <c r="T268" s="1" t="s">
        <v>39</v>
      </c>
      <c r="U268" s="4">
        <v>59317.24</v>
      </c>
      <c r="V268" s="5">
        <v>6</v>
      </c>
      <c r="W268" s="5">
        <v>0</v>
      </c>
      <c r="Y268" s="1" t="s">
        <v>72</v>
      </c>
      <c r="Z268" s="3">
        <v>46235</v>
      </c>
      <c r="AA268" s="1" t="s">
        <v>506</v>
      </c>
      <c r="AB268" s="1" t="s">
        <v>507</v>
      </c>
      <c r="AC268" t="b">
        <f t="shared" si="16"/>
        <v>1</v>
      </c>
      <c r="AD268" t="b">
        <f t="shared" si="17"/>
        <v>0</v>
      </c>
      <c r="AE268" t="b">
        <f t="shared" si="18"/>
        <v>0</v>
      </c>
      <c r="AF268" t="b">
        <f t="shared" si="19"/>
        <v>0</v>
      </c>
    </row>
    <row r="269" spans="1:32">
      <c r="A269" t="s">
        <v>1103</v>
      </c>
      <c r="B269" s="1" t="s">
        <v>1104</v>
      </c>
      <c r="C269" s="2">
        <v>46136.679872685199</v>
      </c>
      <c r="D269" s="1" t="s">
        <v>30</v>
      </c>
      <c r="E269" s="1" t="s">
        <v>1105</v>
      </c>
      <c r="F269" s="1" t="s">
        <v>76</v>
      </c>
      <c r="G269" s="3">
        <v>46143</v>
      </c>
      <c r="H269" s="1" t="s">
        <v>1106</v>
      </c>
      <c r="I269" s="1" t="s">
        <v>63</v>
      </c>
      <c r="J269" s="1" t="s">
        <v>202</v>
      </c>
      <c r="K269" s="1" t="s">
        <v>35</v>
      </c>
      <c r="L269" t="s">
        <v>76</v>
      </c>
      <c r="M269" s="1" t="s">
        <v>45</v>
      </c>
      <c r="N269" s="3">
        <v>46136</v>
      </c>
      <c r="O269" s="1" t="s">
        <v>30</v>
      </c>
      <c r="P269" s="4">
        <v>47900</v>
      </c>
      <c r="Q269" s="5">
        <v>2</v>
      </c>
      <c r="R269" s="1" t="s">
        <v>38</v>
      </c>
      <c r="T269" s="1" t="s">
        <v>39</v>
      </c>
      <c r="U269" s="4">
        <v>61058.12</v>
      </c>
      <c r="V269" s="5">
        <v>3</v>
      </c>
      <c r="W269" s="5">
        <v>0</v>
      </c>
      <c r="Y269" s="1" t="s">
        <v>72</v>
      </c>
      <c r="Z269" s="3">
        <v>46143</v>
      </c>
      <c r="AA269" s="1" t="s">
        <v>41</v>
      </c>
      <c r="AB269" s="1" t="s">
        <v>42</v>
      </c>
      <c r="AC269" t="b">
        <f t="shared" si="16"/>
        <v>0</v>
      </c>
      <c r="AD269" t="b">
        <f t="shared" si="17"/>
        <v>0</v>
      </c>
      <c r="AE269" t="b">
        <f t="shared" si="18"/>
        <v>0</v>
      </c>
      <c r="AF269" t="b">
        <f t="shared" si="19"/>
        <v>0</v>
      </c>
    </row>
    <row r="270" spans="1:32">
      <c r="A270" t="s">
        <v>1107</v>
      </c>
      <c r="B270" s="1" t="s">
        <v>1108</v>
      </c>
      <c r="C270" s="2">
        <v>46035.4774189815</v>
      </c>
      <c r="D270" s="1" t="s">
        <v>30</v>
      </c>
      <c r="E270" s="1" t="s">
        <v>1050</v>
      </c>
      <c r="F270" s="1" t="s">
        <v>101</v>
      </c>
      <c r="G270" s="3">
        <v>46035</v>
      </c>
      <c r="H270" s="1" t="s">
        <v>1051</v>
      </c>
      <c r="I270" s="1" t="s">
        <v>34</v>
      </c>
      <c r="J270" s="1" t="s">
        <v>244</v>
      </c>
      <c r="K270" s="1" t="s">
        <v>35</v>
      </c>
      <c r="L270" t="s">
        <v>101</v>
      </c>
      <c r="N270" s="3">
        <v>46035</v>
      </c>
      <c r="O270" s="1" t="s">
        <v>30</v>
      </c>
      <c r="P270" s="4">
        <v>48000</v>
      </c>
      <c r="Q270" s="5">
        <v>41</v>
      </c>
      <c r="R270" s="1" t="s">
        <v>38</v>
      </c>
      <c r="S270" s="5">
        <v>8000</v>
      </c>
      <c r="T270" s="1" t="s">
        <v>39</v>
      </c>
      <c r="U270" s="4">
        <v>57196.800000000003</v>
      </c>
      <c r="Y270" s="1" t="s">
        <v>72</v>
      </c>
      <c r="Z270" s="3">
        <v>46035</v>
      </c>
      <c r="AA270" s="1" t="s">
        <v>41</v>
      </c>
      <c r="AB270" s="1" t="s">
        <v>42</v>
      </c>
      <c r="AC270" t="b">
        <f t="shared" si="16"/>
        <v>0</v>
      </c>
      <c r="AD270" t="b">
        <f t="shared" si="17"/>
        <v>0</v>
      </c>
      <c r="AE270" t="b">
        <f t="shared" si="18"/>
        <v>0</v>
      </c>
      <c r="AF270" t="b">
        <f t="shared" si="19"/>
        <v>0</v>
      </c>
    </row>
    <row r="271" spans="1:32">
      <c r="A271" t="s">
        <v>1109</v>
      </c>
      <c r="B271" s="1" t="s">
        <v>1110</v>
      </c>
      <c r="C271" s="2">
        <v>46171.788333333301</v>
      </c>
      <c r="D271" s="1" t="s">
        <v>30</v>
      </c>
      <c r="E271" s="1" t="s">
        <v>1111</v>
      </c>
      <c r="F271" s="1" t="s">
        <v>313</v>
      </c>
      <c r="G271" s="3">
        <v>46171</v>
      </c>
      <c r="H271" s="1" t="s">
        <v>1112</v>
      </c>
      <c r="I271" s="1" t="s">
        <v>63</v>
      </c>
      <c r="J271" s="1" t="s">
        <v>35</v>
      </c>
      <c r="K271" s="1" t="s">
        <v>35</v>
      </c>
      <c r="L271" t="s">
        <v>313</v>
      </c>
      <c r="M271" s="1" t="s">
        <v>37</v>
      </c>
      <c r="N271" s="3">
        <v>46171</v>
      </c>
      <c r="O271" s="1" t="s">
        <v>30</v>
      </c>
      <c r="P271" s="4">
        <v>49000</v>
      </c>
      <c r="Q271" s="5">
        <v>1</v>
      </c>
      <c r="R271" s="1" t="s">
        <v>38</v>
      </c>
      <c r="T271" s="1" t="s">
        <v>39</v>
      </c>
      <c r="U271" s="4">
        <v>62327.99</v>
      </c>
      <c r="V271" s="5">
        <v>2</v>
      </c>
      <c r="W271" s="5">
        <v>58</v>
      </c>
      <c r="Y271" s="1" t="s">
        <v>40</v>
      </c>
      <c r="Z271" s="3">
        <v>46171</v>
      </c>
      <c r="AA271" s="1" t="s">
        <v>41</v>
      </c>
      <c r="AB271" s="1" t="s">
        <v>42</v>
      </c>
      <c r="AC271" t="b">
        <f t="shared" si="16"/>
        <v>0</v>
      </c>
      <c r="AD271" t="b">
        <f t="shared" si="17"/>
        <v>0</v>
      </c>
      <c r="AE271" t="b">
        <f t="shared" si="18"/>
        <v>0</v>
      </c>
      <c r="AF271" t="b">
        <f t="shared" si="19"/>
        <v>1</v>
      </c>
    </row>
    <row r="272" spans="1:32">
      <c r="A272" t="s">
        <v>1113</v>
      </c>
      <c r="B272" s="1" t="s">
        <v>1114</v>
      </c>
      <c r="C272" s="2">
        <v>46167.499212962997</v>
      </c>
      <c r="D272" s="1" t="s">
        <v>30</v>
      </c>
      <c r="E272" s="1" t="s">
        <v>1115</v>
      </c>
      <c r="F272" s="1" t="s">
        <v>460</v>
      </c>
      <c r="G272" s="3">
        <v>46167</v>
      </c>
      <c r="H272" s="1" t="s">
        <v>1116</v>
      </c>
      <c r="I272" s="1" t="s">
        <v>34</v>
      </c>
      <c r="J272" s="1" t="s">
        <v>64</v>
      </c>
      <c r="K272" s="1" t="s">
        <v>35</v>
      </c>
      <c r="L272" t="s">
        <v>460</v>
      </c>
      <c r="M272" s="1" t="s">
        <v>45</v>
      </c>
      <c r="N272" s="3">
        <v>46167</v>
      </c>
      <c r="O272" s="1" t="s">
        <v>30</v>
      </c>
      <c r="P272" s="4">
        <v>49925</v>
      </c>
      <c r="Q272" s="5">
        <v>1</v>
      </c>
      <c r="R272" s="1" t="s">
        <v>38</v>
      </c>
      <c r="S272" s="5">
        <v>4896</v>
      </c>
      <c r="T272" s="1" t="s">
        <v>39</v>
      </c>
      <c r="U272" s="4">
        <v>64208.53</v>
      </c>
      <c r="Y272" s="1" t="s">
        <v>227</v>
      </c>
      <c r="Z272" s="3">
        <v>46167</v>
      </c>
      <c r="AA272" s="1" t="s">
        <v>41</v>
      </c>
      <c r="AB272" s="1" t="s">
        <v>42</v>
      </c>
      <c r="AC272" t="b">
        <f t="shared" si="16"/>
        <v>0</v>
      </c>
      <c r="AD272" t="b">
        <f t="shared" si="17"/>
        <v>0</v>
      </c>
      <c r="AE272" t="b">
        <f t="shared" si="18"/>
        <v>0</v>
      </c>
      <c r="AF272" t="b">
        <f t="shared" si="19"/>
        <v>0</v>
      </c>
    </row>
    <row r="273" spans="1:32">
      <c r="A273" t="s">
        <v>1117</v>
      </c>
      <c r="B273" s="1" t="s">
        <v>1118</v>
      </c>
      <c r="C273" s="2">
        <v>46167.499212962997</v>
      </c>
      <c r="D273" s="1" t="s">
        <v>30</v>
      </c>
      <c r="E273" s="1" t="s">
        <v>1115</v>
      </c>
      <c r="F273" s="1" t="s">
        <v>460</v>
      </c>
      <c r="G273" s="3">
        <v>46167</v>
      </c>
      <c r="H273" s="1" t="s">
        <v>1116</v>
      </c>
      <c r="I273" s="1" t="s">
        <v>34</v>
      </c>
      <c r="J273" s="1" t="s">
        <v>35</v>
      </c>
      <c r="K273" s="1" t="s">
        <v>64</v>
      </c>
      <c r="L273" t="s">
        <v>460</v>
      </c>
      <c r="M273" s="1" t="s">
        <v>37</v>
      </c>
      <c r="N273" s="3">
        <v>46167</v>
      </c>
      <c r="O273" s="1" t="s">
        <v>30</v>
      </c>
      <c r="P273" s="4">
        <v>49925</v>
      </c>
      <c r="Q273" s="5">
        <v>1</v>
      </c>
      <c r="R273" s="1" t="s">
        <v>38</v>
      </c>
      <c r="S273" s="5">
        <v>4896</v>
      </c>
      <c r="T273" s="1" t="s">
        <v>39</v>
      </c>
      <c r="U273" s="4">
        <v>64208.53</v>
      </c>
      <c r="Y273" s="1" t="s">
        <v>227</v>
      </c>
      <c r="Z273" s="3">
        <v>46167</v>
      </c>
      <c r="AA273" s="1" t="s">
        <v>41</v>
      </c>
      <c r="AB273" s="1" t="s">
        <v>42</v>
      </c>
      <c r="AC273" t="b">
        <f t="shared" si="16"/>
        <v>0</v>
      </c>
      <c r="AD273" t="b">
        <f t="shared" si="17"/>
        <v>0</v>
      </c>
      <c r="AE273" t="b">
        <f t="shared" si="18"/>
        <v>0</v>
      </c>
      <c r="AF273" t="b">
        <f t="shared" si="19"/>
        <v>0</v>
      </c>
    </row>
    <row r="274" spans="1:32">
      <c r="A274" t="s">
        <v>1119</v>
      </c>
      <c r="B274" s="1" t="s">
        <v>1120</v>
      </c>
      <c r="C274" s="2">
        <v>46101.8510648148</v>
      </c>
      <c r="D274" s="1" t="s">
        <v>30</v>
      </c>
      <c r="E274" s="1" t="s">
        <v>975</v>
      </c>
      <c r="F274" s="1" t="s">
        <v>810</v>
      </c>
      <c r="G274" s="3">
        <v>46101</v>
      </c>
      <c r="H274" s="1" t="s">
        <v>1121</v>
      </c>
      <c r="I274" s="1" t="s">
        <v>63</v>
      </c>
      <c r="J274" s="1" t="s">
        <v>35</v>
      </c>
      <c r="K274" s="1" t="s">
        <v>244</v>
      </c>
      <c r="L274" t="s">
        <v>810</v>
      </c>
      <c r="N274" s="3">
        <v>46101</v>
      </c>
      <c r="O274" s="1" t="s">
        <v>30</v>
      </c>
      <c r="P274" s="4">
        <v>50000</v>
      </c>
      <c r="Q274" s="5">
        <v>1</v>
      </c>
      <c r="R274" s="1" t="s">
        <v>38</v>
      </c>
      <c r="T274" s="1" t="s">
        <v>39</v>
      </c>
      <c r="U274" s="4">
        <v>61570</v>
      </c>
      <c r="V274" s="5">
        <v>0</v>
      </c>
      <c r="W274" s="5">
        <v>4</v>
      </c>
      <c r="Y274" s="1" t="s">
        <v>40</v>
      </c>
      <c r="Z274" s="3">
        <v>46101</v>
      </c>
      <c r="AA274" s="1" t="s">
        <v>41</v>
      </c>
      <c r="AB274" s="1" t="s">
        <v>42</v>
      </c>
      <c r="AC274" t="b">
        <f t="shared" si="16"/>
        <v>0</v>
      </c>
      <c r="AD274" t="b">
        <f t="shared" si="17"/>
        <v>0</v>
      </c>
      <c r="AE274" t="b">
        <f t="shared" si="18"/>
        <v>0</v>
      </c>
      <c r="AF274" t="b">
        <f t="shared" si="19"/>
        <v>0</v>
      </c>
    </row>
    <row r="275" spans="1:32">
      <c r="A275" t="s">
        <v>1122</v>
      </c>
      <c r="B275" s="1" t="s">
        <v>1123</v>
      </c>
      <c r="C275" s="2">
        <v>46057.597337963001</v>
      </c>
      <c r="D275" s="1" t="s">
        <v>30</v>
      </c>
      <c r="E275" s="1" t="s">
        <v>625</v>
      </c>
      <c r="F275" s="1" t="s">
        <v>206</v>
      </c>
      <c r="G275" s="3">
        <v>46057</v>
      </c>
      <c r="H275" s="1" t="s">
        <v>1124</v>
      </c>
      <c r="I275" s="1" t="s">
        <v>34</v>
      </c>
      <c r="J275" s="1" t="s">
        <v>542</v>
      </c>
      <c r="K275" s="1" t="s">
        <v>35</v>
      </c>
      <c r="L275" t="s">
        <v>206</v>
      </c>
      <c r="N275" s="3">
        <v>46057</v>
      </c>
      <c r="O275" s="1" t="s">
        <v>30</v>
      </c>
      <c r="P275" s="4">
        <v>50000</v>
      </c>
      <c r="Q275" s="5">
        <v>1</v>
      </c>
      <c r="R275" s="1" t="s">
        <v>38</v>
      </c>
      <c r="S275" s="5">
        <v>10000</v>
      </c>
      <c r="T275" s="1" t="s">
        <v>39</v>
      </c>
      <c r="U275" s="4">
        <v>60485</v>
      </c>
      <c r="Y275" s="1" t="s">
        <v>58</v>
      </c>
      <c r="Z275" s="3">
        <v>46057</v>
      </c>
      <c r="AA275" s="1" t="s">
        <v>41</v>
      </c>
      <c r="AB275" s="1" t="s">
        <v>42</v>
      </c>
      <c r="AC275" t="b">
        <f t="shared" si="16"/>
        <v>0</v>
      </c>
      <c r="AD275" t="b">
        <f t="shared" si="17"/>
        <v>0</v>
      </c>
      <c r="AE275" t="b">
        <f t="shared" si="18"/>
        <v>0</v>
      </c>
      <c r="AF275" t="b">
        <f t="shared" si="19"/>
        <v>0</v>
      </c>
    </row>
    <row r="276" spans="1:32">
      <c r="A276" t="s">
        <v>1125</v>
      </c>
      <c r="B276" s="1" t="s">
        <v>1126</v>
      </c>
      <c r="C276" s="2">
        <v>46134.555509259299</v>
      </c>
      <c r="D276" s="1" t="s">
        <v>30</v>
      </c>
      <c r="E276" s="1" t="s">
        <v>586</v>
      </c>
      <c r="F276" s="1" t="s">
        <v>587</v>
      </c>
      <c r="G276" s="3">
        <v>46134</v>
      </c>
      <c r="H276" s="1" t="s">
        <v>588</v>
      </c>
      <c r="I276" s="1" t="s">
        <v>63</v>
      </c>
      <c r="J276" s="1" t="s">
        <v>215</v>
      </c>
      <c r="K276" s="1" t="s">
        <v>35</v>
      </c>
      <c r="L276" t="s">
        <v>587</v>
      </c>
      <c r="M276" s="1" t="s">
        <v>45</v>
      </c>
      <c r="N276" s="3">
        <v>46134</v>
      </c>
      <c r="O276" s="1" t="s">
        <v>30</v>
      </c>
      <c r="P276" s="4">
        <v>50000</v>
      </c>
      <c r="Q276" s="5">
        <v>51</v>
      </c>
      <c r="R276" s="1" t="s">
        <v>38</v>
      </c>
      <c r="T276" s="1" t="s">
        <v>39</v>
      </c>
      <c r="U276" s="4">
        <v>63950</v>
      </c>
      <c r="V276" s="5">
        <v>0</v>
      </c>
      <c r="W276" s="5">
        <v>140</v>
      </c>
      <c r="Y276" s="1" t="s">
        <v>58</v>
      </c>
      <c r="Z276" s="3">
        <v>46134</v>
      </c>
      <c r="AA276" s="1" t="s">
        <v>41</v>
      </c>
      <c r="AB276" s="1" t="s">
        <v>42</v>
      </c>
      <c r="AC276" t="b">
        <f t="shared" si="16"/>
        <v>1</v>
      </c>
      <c r="AD276" t="b">
        <f t="shared" si="17"/>
        <v>0</v>
      </c>
      <c r="AE276" t="b">
        <f t="shared" si="18"/>
        <v>0</v>
      </c>
      <c r="AF276" t="b">
        <f t="shared" si="19"/>
        <v>0</v>
      </c>
    </row>
    <row r="277" spans="1:32">
      <c r="A277" t="s">
        <v>1127</v>
      </c>
      <c r="B277" s="1" t="s">
        <v>1128</v>
      </c>
      <c r="C277" s="2">
        <v>46134.555532407401</v>
      </c>
      <c r="D277" s="1" t="s">
        <v>30</v>
      </c>
      <c r="E277" s="1" t="s">
        <v>586</v>
      </c>
      <c r="F277" s="1" t="s">
        <v>587</v>
      </c>
      <c r="G277" s="3">
        <v>46134</v>
      </c>
      <c r="H277" s="1" t="s">
        <v>588</v>
      </c>
      <c r="I277" s="1" t="s">
        <v>63</v>
      </c>
      <c r="J277" s="1" t="s">
        <v>296</v>
      </c>
      <c r="K277" s="1" t="s">
        <v>35</v>
      </c>
      <c r="L277" t="s">
        <v>587</v>
      </c>
      <c r="M277" s="1" t="s">
        <v>45</v>
      </c>
      <c r="N277" s="3">
        <v>46134</v>
      </c>
      <c r="O277" s="1" t="s">
        <v>30</v>
      </c>
      <c r="P277" s="4">
        <v>50000</v>
      </c>
      <c r="Q277" s="5">
        <v>26</v>
      </c>
      <c r="R277" s="1" t="s">
        <v>38</v>
      </c>
      <c r="T277" s="1" t="s">
        <v>39</v>
      </c>
      <c r="U277" s="4">
        <v>63950</v>
      </c>
      <c r="V277" s="5">
        <v>0</v>
      </c>
      <c r="W277" s="5">
        <v>51</v>
      </c>
      <c r="Y277" s="1" t="s">
        <v>58</v>
      </c>
      <c r="Z277" s="3">
        <v>46134</v>
      </c>
      <c r="AA277" s="1" t="s">
        <v>41</v>
      </c>
      <c r="AB277" s="1" t="s">
        <v>42</v>
      </c>
      <c r="AC277" t="b">
        <f t="shared" si="16"/>
        <v>1</v>
      </c>
      <c r="AD277" t="b">
        <f t="shared" si="17"/>
        <v>0</v>
      </c>
      <c r="AE277" t="b">
        <f t="shared" si="18"/>
        <v>0</v>
      </c>
      <c r="AF277" t="b">
        <f t="shared" si="19"/>
        <v>0</v>
      </c>
    </row>
    <row r="278" spans="1:32">
      <c r="A278" t="s">
        <v>1129</v>
      </c>
      <c r="B278" s="1" t="s">
        <v>1130</v>
      </c>
      <c r="C278" s="2">
        <v>46122.879571759302</v>
      </c>
      <c r="D278" s="1" t="s">
        <v>30</v>
      </c>
      <c r="E278" s="1" t="s">
        <v>1131</v>
      </c>
      <c r="F278" s="1" t="s">
        <v>952</v>
      </c>
      <c r="G278" s="3">
        <v>46128</v>
      </c>
      <c r="H278" s="1" t="s">
        <v>1132</v>
      </c>
      <c r="I278" s="1" t="s">
        <v>34</v>
      </c>
      <c r="J278" s="1" t="s">
        <v>35</v>
      </c>
      <c r="K278" s="1" t="s">
        <v>232</v>
      </c>
      <c r="L278" t="s">
        <v>952</v>
      </c>
      <c r="N278" s="3">
        <v>46122</v>
      </c>
      <c r="O278" s="1" t="s">
        <v>30</v>
      </c>
      <c r="P278" s="4">
        <v>50000</v>
      </c>
      <c r="Q278" s="5">
        <v>2</v>
      </c>
      <c r="R278" s="1" t="s">
        <v>38</v>
      </c>
      <c r="S278" s="5">
        <v>300</v>
      </c>
      <c r="T278" s="1" t="s">
        <v>39</v>
      </c>
      <c r="U278" s="4">
        <v>63125.02</v>
      </c>
      <c r="Y278" s="1" t="s">
        <v>72</v>
      </c>
      <c r="Z278" s="3">
        <v>46128</v>
      </c>
      <c r="AA278" s="1" t="s">
        <v>41</v>
      </c>
      <c r="AB278" s="1" t="s">
        <v>42</v>
      </c>
      <c r="AC278" t="b">
        <f t="shared" si="16"/>
        <v>0</v>
      </c>
      <c r="AD278" t="b">
        <f t="shared" si="17"/>
        <v>0</v>
      </c>
      <c r="AE278" t="b">
        <f t="shared" si="18"/>
        <v>0</v>
      </c>
      <c r="AF278" t="b">
        <f t="shared" si="19"/>
        <v>0</v>
      </c>
    </row>
    <row r="279" spans="1:32">
      <c r="A279" t="s">
        <v>1133</v>
      </c>
      <c r="B279" s="1" t="s">
        <v>1134</v>
      </c>
      <c r="C279" s="2">
        <v>46167.5792013889</v>
      </c>
      <c r="D279" s="1" t="s">
        <v>30</v>
      </c>
      <c r="E279" s="1" t="s">
        <v>938</v>
      </c>
      <c r="F279" s="1" t="s">
        <v>443</v>
      </c>
      <c r="H279" s="1" t="s">
        <v>939</v>
      </c>
      <c r="I279" s="1" t="s">
        <v>34</v>
      </c>
      <c r="J279" s="1" t="s">
        <v>35</v>
      </c>
      <c r="K279" s="1" t="s">
        <v>103</v>
      </c>
      <c r="L279" t="s">
        <v>443</v>
      </c>
      <c r="O279" s="1" t="s">
        <v>30</v>
      </c>
      <c r="P279" s="4">
        <v>50000</v>
      </c>
      <c r="Q279" s="5">
        <v>1</v>
      </c>
      <c r="S279" s="5">
        <v>2050</v>
      </c>
      <c r="T279" s="1" t="s">
        <v>39</v>
      </c>
      <c r="U279" s="4">
        <v>62340.02</v>
      </c>
      <c r="Y279" s="1" t="s">
        <v>72</v>
      </c>
      <c r="Z279" s="3">
        <v>46203</v>
      </c>
      <c r="AA279" s="1" t="s">
        <v>237</v>
      </c>
      <c r="AB279" s="1" t="s">
        <v>238</v>
      </c>
      <c r="AC279" t="b">
        <f t="shared" si="16"/>
        <v>0</v>
      </c>
      <c r="AD279" t="b">
        <f t="shared" si="17"/>
        <v>0</v>
      </c>
      <c r="AE279" t="b">
        <f t="shared" si="18"/>
        <v>0</v>
      </c>
      <c r="AF279" t="b">
        <f t="shared" si="19"/>
        <v>0</v>
      </c>
    </row>
    <row r="280" spans="1:32">
      <c r="A280" t="s">
        <v>1135</v>
      </c>
      <c r="B280" s="1" t="s">
        <v>1136</v>
      </c>
      <c r="C280" s="2">
        <v>46066.920532407399</v>
      </c>
      <c r="D280" s="1" t="s">
        <v>30</v>
      </c>
      <c r="E280" s="1" t="s">
        <v>938</v>
      </c>
      <c r="F280" s="1" t="s">
        <v>533</v>
      </c>
      <c r="G280" s="3">
        <v>46081</v>
      </c>
      <c r="H280" s="1" t="s">
        <v>1137</v>
      </c>
      <c r="I280" s="1" t="s">
        <v>63</v>
      </c>
      <c r="J280" s="1" t="s">
        <v>35</v>
      </c>
      <c r="K280" s="1" t="s">
        <v>168</v>
      </c>
      <c r="L280" t="s">
        <v>443</v>
      </c>
      <c r="N280" s="3">
        <v>46066</v>
      </c>
      <c r="O280" s="1" t="s">
        <v>30</v>
      </c>
      <c r="P280" s="4">
        <v>50000</v>
      </c>
      <c r="Q280" s="5">
        <v>1</v>
      </c>
      <c r="R280" s="1" t="s">
        <v>38</v>
      </c>
      <c r="T280" s="1" t="s">
        <v>39</v>
      </c>
      <c r="U280" s="4">
        <v>60359.99</v>
      </c>
      <c r="V280" s="5">
        <v>2</v>
      </c>
      <c r="W280" s="5">
        <v>0</v>
      </c>
      <c r="Z280" s="3">
        <v>46081</v>
      </c>
      <c r="AA280" s="1" t="s">
        <v>41</v>
      </c>
      <c r="AB280" s="1" t="s">
        <v>42</v>
      </c>
      <c r="AC280" t="b">
        <f t="shared" si="16"/>
        <v>0</v>
      </c>
      <c r="AD280" t="b">
        <f t="shared" si="17"/>
        <v>0</v>
      </c>
      <c r="AE280" t="b">
        <f t="shared" si="18"/>
        <v>0</v>
      </c>
      <c r="AF280" t="b">
        <f t="shared" si="19"/>
        <v>0</v>
      </c>
    </row>
    <row r="281" spans="1:32">
      <c r="A281" t="s">
        <v>1138</v>
      </c>
      <c r="B281" s="1" t="s">
        <v>1139</v>
      </c>
      <c r="C281" s="2">
        <v>46181.716481481497</v>
      </c>
      <c r="D281" s="1" t="s">
        <v>30</v>
      </c>
      <c r="E281" s="1" t="s">
        <v>1140</v>
      </c>
      <c r="F281" s="1" t="s">
        <v>1141</v>
      </c>
      <c r="H281" s="1" t="s">
        <v>1142</v>
      </c>
      <c r="I281" s="1" t="s">
        <v>63</v>
      </c>
      <c r="J281" s="1" t="s">
        <v>35</v>
      </c>
      <c r="K281" s="1" t="s">
        <v>232</v>
      </c>
      <c r="L281" t="s">
        <v>1141</v>
      </c>
      <c r="M281" s="1" t="s">
        <v>37</v>
      </c>
      <c r="O281" s="1" t="s">
        <v>30</v>
      </c>
      <c r="P281" s="4">
        <v>50000</v>
      </c>
      <c r="Q281" s="5">
        <v>2</v>
      </c>
      <c r="T281" s="1" t="s">
        <v>1143</v>
      </c>
      <c r="U281" s="4">
        <v>315500.03999999998</v>
      </c>
      <c r="V281" s="5">
        <v>10</v>
      </c>
      <c r="W281" s="5">
        <v>0</v>
      </c>
      <c r="Y281" s="1" t="s">
        <v>227</v>
      </c>
      <c r="Z281" s="3">
        <v>46263</v>
      </c>
      <c r="AA281" s="1" t="s">
        <v>237</v>
      </c>
      <c r="AB281" s="1" t="s">
        <v>238</v>
      </c>
      <c r="AC281" t="b">
        <f t="shared" si="16"/>
        <v>0</v>
      </c>
      <c r="AD281" t="b">
        <f t="shared" si="17"/>
        <v>1</v>
      </c>
      <c r="AE281" t="b">
        <f t="shared" si="18"/>
        <v>0</v>
      </c>
      <c r="AF281" t="b">
        <f t="shared" si="19"/>
        <v>0</v>
      </c>
    </row>
    <row r="282" spans="1:32">
      <c r="A282" t="s">
        <v>1144</v>
      </c>
      <c r="B282" s="1" t="s">
        <v>1145</v>
      </c>
      <c r="C282" s="2">
        <v>46155.724363425899</v>
      </c>
      <c r="D282" s="1" t="s">
        <v>30</v>
      </c>
      <c r="E282" s="1" t="s">
        <v>1146</v>
      </c>
      <c r="F282" s="1" t="s">
        <v>1059</v>
      </c>
      <c r="G282" s="3">
        <v>46155</v>
      </c>
      <c r="H282" s="1" t="s">
        <v>1147</v>
      </c>
      <c r="I282" s="1" t="s">
        <v>63</v>
      </c>
      <c r="J282" s="1" t="s">
        <v>64</v>
      </c>
      <c r="K282" s="1" t="s">
        <v>35</v>
      </c>
      <c r="L282" t="s">
        <v>1059</v>
      </c>
      <c r="N282" s="3">
        <v>46155</v>
      </c>
      <c r="O282" s="1" t="s">
        <v>30</v>
      </c>
      <c r="P282" s="4">
        <v>50000</v>
      </c>
      <c r="Q282" s="5">
        <v>1</v>
      </c>
      <c r="R282" s="1" t="s">
        <v>38</v>
      </c>
      <c r="T282" s="1" t="s">
        <v>39</v>
      </c>
      <c r="U282" s="4">
        <v>65155.02</v>
      </c>
      <c r="V282" s="5">
        <v>2</v>
      </c>
      <c r="W282" s="5">
        <v>1000</v>
      </c>
      <c r="Y282" s="1" t="s">
        <v>58</v>
      </c>
      <c r="Z282" s="3">
        <v>46155</v>
      </c>
      <c r="AA282" s="1" t="s">
        <v>41</v>
      </c>
      <c r="AB282" s="1" t="s">
        <v>42</v>
      </c>
      <c r="AC282" t="b">
        <f t="shared" si="16"/>
        <v>0</v>
      </c>
      <c r="AD282" t="b">
        <f t="shared" si="17"/>
        <v>0</v>
      </c>
      <c r="AE282" t="b">
        <f t="shared" si="18"/>
        <v>0</v>
      </c>
      <c r="AF282" t="b">
        <f t="shared" si="19"/>
        <v>0</v>
      </c>
    </row>
    <row r="283" spans="1:32">
      <c r="A283" t="s">
        <v>1148</v>
      </c>
      <c r="B283" s="1" t="s">
        <v>1149</v>
      </c>
      <c r="C283" s="2">
        <v>46111.604907407404</v>
      </c>
      <c r="D283" s="1" t="s">
        <v>30</v>
      </c>
      <c r="E283" s="1" t="s">
        <v>616</v>
      </c>
      <c r="F283" s="1" t="s">
        <v>617</v>
      </c>
      <c r="G283" s="3">
        <v>46112</v>
      </c>
      <c r="H283" s="1" t="s">
        <v>1150</v>
      </c>
      <c r="I283" s="1" t="s">
        <v>63</v>
      </c>
      <c r="J283" s="1" t="s">
        <v>232</v>
      </c>
      <c r="K283" s="1" t="s">
        <v>35</v>
      </c>
      <c r="L283" t="s">
        <v>617</v>
      </c>
      <c r="N283" s="3">
        <v>46111</v>
      </c>
      <c r="O283" s="1" t="s">
        <v>30</v>
      </c>
      <c r="P283" s="4">
        <v>50000</v>
      </c>
      <c r="Q283" s="5">
        <v>6</v>
      </c>
      <c r="R283" s="1" t="s">
        <v>38</v>
      </c>
      <c r="T283" s="1" t="s">
        <v>39</v>
      </c>
      <c r="U283" s="4">
        <v>61739.99</v>
      </c>
      <c r="V283" s="5">
        <v>12</v>
      </c>
      <c r="W283" s="5">
        <v>0</v>
      </c>
      <c r="Y283" s="1" t="s">
        <v>227</v>
      </c>
      <c r="Z283" s="3">
        <v>46112</v>
      </c>
      <c r="AA283" s="1" t="s">
        <v>41</v>
      </c>
      <c r="AB283" s="1" t="s">
        <v>42</v>
      </c>
      <c r="AC283" t="b">
        <f t="shared" si="16"/>
        <v>0</v>
      </c>
      <c r="AD283" t="b">
        <f t="shared" si="17"/>
        <v>0</v>
      </c>
      <c r="AE283" t="b">
        <f t="shared" si="18"/>
        <v>0</v>
      </c>
      <c r="AF283" t="b">
        <f t="shared" si="19"/>
        <v>0</v>
      </c>
    </row>
    <row r="284" spans="1:32">
      <c r="A284" t="s">
        <v>1151</v>
      </c>
      <c r="B284" s="1" t="s">
        <v>1152</v>
      </c>
      <c r="C284" s="2">
        <v>46148.708831018499</v>
      </c>
      <c r="D284" s="1" t="s">
        <v>30</v>
      </c>
      <c r="E284" s="1" t="s">
        <v>1153</v>
      </c>
      <c r="F284" s="1" t="s">
        <v>313</v>
      </c>
      <c r="G284" s="3">
        <v>46148</v>
      </c>
      <c r="H284" s="1" t="s">
        <v>1154</v>
      </c>
      <c r="I284" s="1" t="s">
        <v>34</v>
      </c>
      <c r="J284" s="1" t="s">
        <v>35</v>
      </c>
      <c r="K284" s="1" t="s">
        <v>57</v>
      </c>
      <c r="L284" t="s">
        <v>313</v>
      </c>
      <c r="M284" s="1" t="s">
        <v>37</v>
      </c>
      <c r="N284" s="3">
        <v>46148</v>
      </c>
      <c r="O284" s="1" t="s">
        <v>30</v>
      </c>
      <c r="P284" s="4">
        <v>50000</v>
      </c>
      <c r="Q284" s="5">
        <v>5</v>
      </c>
      <c r="R284" s="1" t="s">
        <v>65</v>
      </c>
      <c r="S284" s="5">
        <v>500</v>
      </c>
      <c r="T284" s="1" t="s">
        <v>39</v>
      </c>
      <c r="U284" s="4">
        <v>64880.01</v>
      </c>
      <c r="Y284" s="1" t="s">
        <v>40</v>
      </c>
      <c r="Z284" s="3">
        <v>46148</v>
      </c>
      <c r="AA284" s="1" t="s">
        <v>41</v>
      </c>
      <c r="AB284" s="1" t="s">
        <v>42</v>
      </c>
      <c r="AC284" t="b">
        <f t="shared" si="16"/>
        <v>0</v>
      </c>
      <c r="AD284" t="b">
        <f t="shared" si="17"/>
        <v>0</v>
      </c>
      <c r="AE284" t="b">
        <f t="shared" si="18"/>
        <v>0</v>
      </c>
      <c r="AF284" t="b">
        <f t="shared" si="19"/>
        <v>0</v>
      </c>
    </row>
    <row r="285" spans="1:32">
      <c r="A285" t="s">
        <v>1155</v>
      </c>
      <c r="B285" s="1" t="s">
        <v>1156</v>
      </c>
      <c r="C285" s="2">
        <v>46149.707303240699</v>
      </c>
      <c r="D285" s="1" t="s">
        <v>30</v>
      </c>
      <c r="E285" s="1" t="s">
        <v>1157</v>
      </c>
      <c r="F285" s="1" t="s">
        <v>1158</v>
      </c>
      <c r="G285" s="3">
        <v>46150</v>
      </c>
      <c r="H285" s="1" t="s">
        <v>1159</v>
      </c>
      <c r="I285" s="1" t="s">
        <v>63</v>
      </c>
      <c r="J285" s="1" t="s">
        <v>211</v>
      </c>
      <c r="K285" s="1" t="s">
        <v>35</v>
      </c>
      <c r="L285" t="s">
        <v>1158</v>
      </c>
      <c r="M285" s="1" t="s">
        <v>45</v>
      </c>
      <c r="N285" s="3">
        <v>46149</v>
      </c>
      <c r="O285" s="1" t="s">
        <v>30</v>
      </c>
      <c r="P285" s="4">
        <v>50000</v>
      </c>
      <c r="Q285" s="5">
        <v>1</v>
      </c>
      <c r="R285" s="1" t="s">
        <v>65</v>
      </c>
      <c r="T285" s="1" t="s">
        <v>39</v>
      </c>
      <c r="U285" s="4">
        <v>64880.01</v>
      </c>
      <c r="V285" s="5">
        <v>1</v>
      </c>
      <c r="W285" s="5">
        <v>0</v>
      </c>
      <c r="Y285" s="1" t="s">
        <v>58</v>
      </c>
      <c r="Z285" s="3">
        <v>46150</v>
      </c>
      <c r="AA285" s="1" t="s">
        <v>41</v>
      </c>
      <c r="AB285" s="1" t="s">
        <v>42</v>
      </c>
      <c r="AC285" t="b">
        <f t="shared" si="16"/>
        <v>0</v>
      </c>
      <c r="AD285" t="b">
        <f t="shared" si="17"/>
        <v>0</v>
      </c>
      <c r="AE285" t="b">
        <f t="shared" si="18"/>
        <v>0</v>
      </c>
      <c r="AF285" t="b">
        <f t="shared" si="19"/>
        <v>0</v>
      </c>
    </row>
    <row r="286" spans="1:32">
      <c r="A286" t="s">
        <v>1160</v>
      </c>
      <c r="B286" s="1" t="s">
        <v>1161</v>
      </c>
      <c r="C286" s="2">
        <v>46144.078750000001</v>
      </c>
      <c r="D286" s="1" t="s">
        <v>30</v>
      </c>
      <c r="E286" s="1" t="s">
        <v>1162</v>
      </c>
      <c r="F286" s="1" t="s">
        <v>284</v>
      </c>
      <c r="G286" s="3">
        <v>46080</v>
      </c>
      <c r="H286" s="1" t="s">
        <v>1163</v>
      </c>
      <c r="I286" s="1" t="s">
        <v>63</v>
      </c>
      <c r="J286" s="1" t="s">
        <v>35</v>
      </c>
      <c r="K286" s="1" t="s">
        <v>244</v>
      </c>
      <c r="L286" t="s">
        <v>284</v>
      </c>
      <c r="N286" s="3">
        <v>46083</v>
      </c>
      <c r="O286" s="1" t="s">
        <v>30</v>
      </c>
      <c r="P286" s="4">
        <v>52000</v>
      </c>
      <c r="Q286" s="5">
        <v>3</v>
      </c>
      <c r="R286" s="1" t="s">
        <v>65</v>
      </c>
      <c r="T286" s="1" t="s">
        <v>39</v>
      </c>
      <c r="U286" s="4">
        <v>63845.61</v>
      </c>
      <c r="V286" s="5">
        <v>6</v>
      </c>
      <c r="W286" s="5">
        <v>0</v>
      </c>
      <c r="Y286" s="1" t="s">
        <v>286</v>
      </c>
      <c r="Z286" s="3">
        <v>46080</v>
      </c>
      <c r="AA286" s="1" t="s">
        <v>41</v>
      </c>
      <c r="AB286" s="1" t="s">
        <v>42</v>
      </c>
      <c r="AC286" t="b">
        <f t="shared" si="16"/>
        <v>0</v>
      </c>
      <c r="AD286" t="b">
        <f t="shared" si="17"/>
        <v>0</v>
      </c>
      <c r="AE286" t="b">
        <f t="shared" si="18"/>
        <v>0</v>
      </c>
      <c r="AF286" t="b">
        <f t="shared" si="19"/>
        <v>0</v>
      </c>
    </row>
    <row r="287" spans="1:32">
      <c r="A287" t="s">
        <v>1164</v>
      </c>
      <c r="B287" s="1" t="s">
        <v>1165</v>
      </c>
      <c r="C287" s="2">
        <v>46157.873287037</v>
      </c>
      <c r="D287" s="1" t="s">
        <v>30</v>
      </c>
      <c r="E287" s="1" t="s">
        <v>1166</v>
      </c>
      <c r="F287" s="1" t="s">
        <v>266</v>
      </c>
      <c r="G287" s="3">
        <v>46157</v>
      </c>
      <c r="H287" s="1" t="s">
        <v>1167</v>
      </c>
      <c r="I287" s="1" t="s">
        <v>34</v>
      </c>
      <c r="J287" s="1" t="s">
        <v>35</v>
      </c>
      <c r="K287" s="1" t="s">
        <v>78</v>
      </c>
      <c r="L287" t="s">
        <v>266</v>
      </c>
      <c r="N287" s="3">
        <v>46157</v>
      </c>
      <c r="O287" s="1" t="s">
        <v>30</v>
      </c>
      <c r="P287" s="4">
        <v>53750</v>
      </c>
      <c r="Q287" s="5">
        <v>10</v>
      </c>
      <c r="R287" s="1" t="s">
        <v>38</v>
      </c>
      <c r="S287" s="5">
        <v>1000</v>
      </c>
      <c r="T287" s="1" t="s">
        <v>39</v>
      </c>
      <c r="U287" s="4">
        <v>70041.649999999994</v>
      </c>
      <c r="Y287" s="1" t="s">
        <v>72</v>
      </c>
      <c r="Z287" s="3">
        <v>46157</v>
      </c>
      <c r="AA287" s="1" t="s">
        <v>41</v>
      </c>
      <c r="AB287" s="1" t="s">
        <v>42</v>
      </c>
      <c r="AC287" t="b">
        <f t="shared" si="16"/>
        <v>0</v>
      </c>
      <c r="AD287" t="b">
        <f t="shared" si="17"/>
        <v>0</v>
      </c>
      <c r="AE287" t="b">
        <f t="shared" si="18"/>
        <v>0</v>
      </c>
      <c r="AF287" t="b">
        <f t="shared" si="19"/>
        <v>0</v>
      </c>
    </row>
    <row r="288" spans="1:32">
      <c r="A288" t="s">
        <v>1168</v>
      </c>
      <c r="B288" s="1" t="s">
        <v>1169</v>
      </c>
      <c r="C288" s="2">
        <v>46161.969490740703</v>
      </c>
      <c r="D288" s="1" t="s">
        <v>30</v>
      </c>
      <c r="E288" s="1" t="s">
        <v>1170</v>
      </c>
      <c r="F288" s="1" t="s">
        <v>612</v>
      </c>
      <c r="G288" s="3">
        <v>46161</v>
      </c>
      <c r="H288" s="1" t="s">
        <v>1171</v>
      </c>
      <c r="I288" s="1" t="s">
        <v>34</v>
      </c>
      <c r="J288" s="1" t="s">
        <v>202</v>
      </c>
      <c r="K288" s="1" t="s">
        <v>35</v>
      </c>
      <c r="L288" t="s">
        <v>612</v>
      </c>
      <c r="M288" s="1" t="s">
        <v>45</v>
      </c>
      <c r="N288" s="3">
        <v>46161</v>
      </c>
      <c r="O288" s="1" t="s">
        <v>30</v>
      </c>
      <c r="P288" s="4">
        <v>54000</v>
      </c>
      <c r="Q288" s="5">
        <v>6</v>
      </c>
      <c r="R288" s="1" t="s">
        <v>38</v>
      </c>
      <c r="S288" s="5">
        <v>2000</v>
      </c>
      <c r="T288" s="1" t="s">
        <v>39</v>
      </c>
      <c r="U288" s="4">
        <v>69244.19</v>
      </c>
      <c r="Y288" s="1" t="s">
        <v>51</v>
      </c>
      <c r="Z288" s="3">
        <v>46161</v>
      </c>
      <c r="AA288" s="1" t="s">
        <v>41</v>
      </c>
      <c r="AB288" s="1" t="s">
        <v>42</v>
      </c>
      <c r="AC288" t="b">
        <f t="shared" si="16"/>
        <v>0</v>
      </c>
      <c r="AD288" t="b">
        <f t="shared" si="17"/>
        <v>0</v>
      </c>
      <c r="AE288" t="b">
        <f t="shared" si="18"/>
        <v>0</v>
      </c>
      <c r="AF288" t="b">
        <f t="shared" si="19"/>
        <v>0</v>
      </c>
    </row>
    <row r="289" spans="1:32">
      <c r="A289" t="s">
        <v>1172</v>
      </c>
      <c r="B289" s="1" t="s">
        <v>1173</v>
      </c>
      <c r="C289" s="2">
        <v>46083.068043981497</v>
      </c>
      <c r="D289" s="1" t="s">
        <v>30</v>
      </c>
      <c r="E289" s="1" t="s">
        <v>1174</v>
      </c>
      <c r="F289" s="1" t="s">
        <v>112</v>
      </c>
      <c r="G289" s="3">
        <v>46053</v>
      </c>
      <c r="H289" s="1" t="s">
        <v>1175</v>
      </c>
      <c r="I289" s="1" t="s">
        <v>63</v>
      </c>
      <c r="J289" s="1" t="s">
        <v>232</v>
      </c>
      <c r="K289" s="1" t="s">
        <v>35</v>
      </c>
      <c r="L289" t="s">
        <v>112</v>
      </c>
      <c r="M289" s="1" t="s">
        <v>45</v>
      </c>
      <c r="N289" s="3">
        <v>46029</v>
      </c>
      <c r="O289" s="1" t="s">
        <v>30</v>
      </c>
      <c r="P289" s="4">
        <v>56651</v>
      </c>
      <c r="Q289" s="5">
        <v>1</v>
      </c>
      <c r="R289" s="1" t="s">
        <v>65</v>
      </c>
      <c r="T289" s="1" t="s">
        <v>39</v>
      </c>
      <c r="U289" s="4">
        <v>66989.83</v>
      </c>
      <c r="V289" s="5">
        <v>1</v>
      </c>
      <c r="W289" s="5">
        <v>0</v>
      </c>
      <c r="Y289" s="1" t="s">
        <v>115</v>
      </c>
      <c r="Z289" s="3">
        <v>46053</v>
      </c>
      <c r="AA289" s="1" t="s">
        <v>41</v>
      </c>
      <c r="AB289" s="1" t="s">
        <v>42</v>
      </c>
      <c r="AC289" t="b">
        <f t="shared" si="16"/>
        <v>0</v>
      </c>
      <c r="AD289" t="b">
        <f t="shared" si="17"/>
        <v>0</v>
      </c>
      <c r="AE289" t="b">
        <f t="shared" si="18"/>
        <v>0</v>
      </c>
      <c r="AF289" t="b">
        <f t="shared" si="19"/>
        <v>0</v>
      </c>
    </row>
    <row r="290" spans="1:32">
      <c r="A290" t="s">
        <v>1176</v>
      </c>
      <c r="B290" s="1" t="s">
        <v>1177</v>
      </c>
      <c r="C290" s="2">
        <v>46028.734652777799</v>
      </c>
      <c r="D290" s="1" t="s">
        <v>30</v>
      </c>
      <c r="E290" s="1" t="s">
        <v>1050</v>
      </c>
      <c r="F290" s="1" t="s">
        <v>101</v>
      </c>
      <c r="G290" s="3">
        <v>46028</v>
      </c>
      <c r="H290" s="1" t="s">
        <v>1178</v>
      </c>
      <c r="I290" s="1" t="s">
        <v>63</v>
      </c>
      <c r="J290" s="1" t="s">
        <v>244</v>
      </c>
      <c r="K290" s="1" t="s">
        <v>35</v>
      </c>
      <c r="L290" t="s">
        <v>101</v>
      </c>
      <c r="N290" s="3">
        <v>46028</v>
      </c>
      <c r="O290" s="1" t="s">
        <v>30</v>
      </c>
      <c r="P290" s="4">
        <v>58000</v>
      </c>
      <c r="Q290" s="5">
        <v>14</v>
      </c>
      <c r="R290" s="1" t="s">
        <v>38</v>
      </c>
      <c r="T290" s="1" t="s">
        <v>39</v>
      </c>
      <c r="U290" s="4">
        <v>68585.02</v>
      </c>
      <c r="V290" s="5">
        <v>2</v>
      </c>
      <c r="W290" s="5">
        <v>130</v>
      </c>
      <c r="Y290" s="1" t="s">
        <v>72</v>
      </c>
      <c r="Z290" s="3">
        <v>46028</v>
      </c>
      <c r="AA290" s="1" t="s">
        <v>41</v>
      </c>
      <c r="AB290" s="1" t="s">
        <v>42</v>
      </c>
      <c r="AC290" t="b">
        <f t="shared" si="16"/>
        <v>0</v>
      </c>
      <c r="AD290" t="b">
        <f t="shared" si="17"/>
        <v>0</v>
      </c>
      <c r="AE290" t="b">
        <f t="shared" si="18"/>
        <v>0</v>
      </c>
      <c r="AF290" t="b">
        <f t="shared" si="19"/>
        <v>0</v>
      </c>
    </row>
    <row r="291" spans="1:32">
      <c r="A291" t="s">
        <v>1179</v>
      </c>
      <c r="B291" s="1" t="s">
        <v>1180</v>
      </c>
      <c r="C291" s="2">
        <v>46042.807465277801</v>
      </c>
      <c r="D291" s="1" t="s">
        <v>30</v>
      </c>
      <c r="E291" s="1" t="s">
        <v>920</v>
      </c>
      <c r="F291" s="1" t="s">
        <v>266</v>
      </c>
      <c r="G291" s="3">
        <v>46042</v>
      </c>
      <c r="H291" s="1" t="s">
        <v>1181</v>
      </c>
      <c r="I291" s="1" t="s">
        <v>34</v>
      </c>
      <c r="J291" s="1" t="s">
        <v>35</v>
      </c>
      <c r="K291" s="1" t="s">
        <v>114</v>
      </c>
      <c r="L291" t="s">
        <v>266</v>
      </c>
      <c r="N291" s="3">
        <v>46042</v>
      </c>
      <c r="O291" s="1" t="s">
        <v>30</v>
      </c>
      <c r="P291" s="4">
        <v>59000</v>
      </c>
      <c r="Q291" s="5">
        <v>12</v>
      </c>
      <c r="R291" s="1" t="s">
        <v>38</v>
      </c>
      <c r="S291" s="5">
        <v>540</v>
      </c>
      <c r="T291" s="1" t="s">
        <v>39</v>
      </c>
      <c r="U291" s="4">
        <v>69826.490000000005</v>
      </c>
      <c r="Y291" s="1" t="s">
        <v>72</v>
      </c>
      <c r="Z291" s="3">
        <v>46042</v>
      </c>
      <c r="AA291" s="1" t="s">
        <v>41</v>
      </c>
      <c r="AB291" s="1" t="s">
        <v>42</v>
      </c>
      <c r="AC291" t="b">
        <f t="shared" si="16"/>
        <v>0</v>
      </c>
      <c r="AD291" t="b">
        <f t="shared" si="17"/>
        <v>0</v>
      </c>
      <c r="AE291" t="b">
        <f t="shared" si="18"/>
        <v>0</v>
      </c>
      <c r="AF291" t="b">
        <f t="shared" si="19"/>
        <v>0</v>
      </c>
    </row>
    <row r="292" spans="1:32">
      <c r="A292" t="s">
        <v>1182</v>
      </c>
      <c r="B292" s="1" t="s">
        <v>1183</v>
      </c>
      <c r="C292" s="2">
        <v>46134.705787036997</v>
      </c>
      <c r="D292" s="1" t="s">
        <v>30</v>
      </c>
      <c r="E292" s="1" t="s">
        <v>783</v>
      </c>
      <c r="F292" s="1" t="s">
        <v>524</v>
      </c>
      <c r="G292" s="3">
        <v>46142</v>
      </c>
      <c r="H292" s="1" t="s">
        <v>784</v>
      </c>
      <c r="I292" s="1" t="s">
        <v>63</v>
      </c>
      <c r="J292" s="1" t="s">
        <v>542</v>
      </c>
      <c r="K292" s="1" t="s">
        <v>35</v>
      </c>
      <c r="L292" t="s">
        <v>524</v>
      </c>
      <c r="M292" s="1" t="s">
        <v>37</v>
      </c>
      <c r="N292" s="3">
        <v>46134</v>
      </c>
      <c r="O292" s="1" t="s">
        <v>30</v>
      </c>
      <c r="P292" s="4">
        <v>59000</v>
      </c>
      <c r="Q292" s="5">
        <v>72</v>
      </c>
      <c r="R292" s="1" t="s">
        <v>38</v>
      </c>
      <c r="T292" s="1" t="s">
        <v>39</v>
      </c>
      <c r="U292" s="4">
        <v>75602.61</v>
      </c>
      <c r="V292" s="5">
        <v>146</v>
      </c>
      <c r="W292" s="5">
        <v>0</v>
      </c>
      <c r="Y292" s="1" t="s">
        <v>227</v>
      </c>
      <c r="Z292" s="3">
        <v>46142</v>
      </c>
      <c r="AA292" s="1" t="s">
        <v>41</v>
      </c>
      <c r="AB292" s="1" t="s">
        <v>42</v>
      </c>
      <c r="AC292" t="b">
        <f t="shared" si="16"/>
        <v>1</v>
      </c>
      <c r="AD292" t="b">
        <f t="shared" si="17"/>
        <v>0</v>
      </c>
      <c r="AE292" t="b">
        <f t="shared" si="18"/>
        <v>0</v>
      </c>
      <c r="AF292" t="b">
        <f t="shared" si="19"/>
        <v>0</v>
      </c>
    </row>
    <row r="293" spans="1:32">
      <c r="A293" t="s">
        <v>1184</v>
      </c>
      <c r="B293" s="1" t="s">
        <v>1185</v>
      </c>
      <c r="C293" s="2">
        <v>46178.8210300926</v>
      </c>
      <c r="D293" s="1" t="s">
        <v>30</v>
      </c>
      <c r="E293" s="1" t="s">
        <v>503</v>
      </c>
      <c r="F293" s="1" t="s">
        <v>504</v>
      </c>
      <c r="H293" s="1" t="s">
        <v>1186</v>
      </c>
      <c r="I293" s="1" t="s">
        <v>34</v>
      </c>
      <c r="J293" s="1" t="s">
        <v>563</v>
      </c>
      <c r="K293" s="1" t="s">
        <v>35</v>
      </c>
      <c r="L293" t="s">
        <v>504</v>
      </c>
      <c r="M293" s="1" t="s">
        <v>45</v>
      </c>
      <c r="O293" s="1" t="s">
        <v>30</v>
      </c>
      <c r="P293" s="4">
        <v>60000</v>
      </c>
      <c r="Q293" s="5">
        <v>60</v>
      </c>
      <c r="S293" s="5">
        <v>581</v>
      </c>
      <c r="T293" s="1" t="s">
        <v>39</v>
      </c>
      <c r="U293" s="4">
        <v>76037.990000000005</v>
      </c>
      <c r="Y293" s="1" t="s">
        <v>115</v>
      </c>
      <c r="Z293" s="3">
        <v>46235</v>
      </c>
      <c r="AA293" s="1" t="s">
        <v>506</v>
      </c>
      <c r="AB293" s="1" t="s">
        <v>507</v>
      </c>
      <c r="AC293" t="b">
        <f t="shared" si="16"/>
        <v>0</v>
      </c>
      <c r="AD293" t="b">
        <f t="shared" si="17"/>
        <v>0</v>
      </c>
      <c r="AE293" t="b">
        <f t="shared" si="18"/>
        <v>0</v>
      </c>
      <c r="AF293" t="b">
        <f t="shared" si="19"/>
        <v>0</v>
      </c>
    </row>
    <row r="294" spans="1:32">
      <c r="A294" t="s">
        <v>1187</v>
      </c>
      <c r="B294" s="1" t="s">
        <v>1188</v>
      </c>
      <c r="C294" s="2">
        <v>46171.539363425902</v>
      </c>
      <c r="D294" s="1" t="s">
        <v>30</v>
      </c>
      <c r="E294" s="1" t="s">
        <v>438</v>
      </c>
      <c r="F294" s="1" t="s">
        <v>348</v>
      </c>
      <c r="G294" s="3">
        <v>46171</v>
      </c>
      <c r="H294" s="1" t="s">
        <v>1189</v>
      </c>
      <c r="I294" s="1" t="s">
        <v>34</v>
      </c>
      <c r="J294" s="1" t="s">
        <v>64</v>
      </c>
      <c r="K294" s="1" t="s">
        <v>35</v>
      </c>
      <c r="L294" t="s">
        <v>348</v>
      </c>
      <c r="N294" s="3">
        <v>46171</v>
      </c>
      <c r="O294" s="1" t="s">
        <v>30</v>
      </c>
      <c r="P294" s="4">
        <v>60000</v>
      </c>
      <c r="Q294" s="5">
        <v>1</v>
      </c>
      <c r="R294" s="1" t="s">
        <v>38</v>
      </c>
      <c r="S294" s="5">
        <v>800</v>
      </c>
      <c r="T294" s="1" t="s">
        <v>39</v>
      </c>
      <c r="U294" s="4">
        <v>76109.98</v>
      </c>
      <c r="Y294" s="1" t="s">
        <v>227</v>
      </c>
      <c r="Z294" s="3">
        <v>46171</v>
      </c>
      <c r="AA294" s="1" t="s">
        <v>41</v>
      </c>
      <c r="AB294" s="1" t="s">
        <v>42</v>
      </c>
      <c r="AC294" t="b">
        <f t="shared" si="16"/>
        <v>0</v>
      </c>
      <c r="AD294" t="b">
        <f t="shared" si="17"/>
        <v>0</v>
      </c>
      <c r="AE294" t="b">
        <f t="shared" si="18"/>
        <v>0</v>
      </c>
      <c r="AF294" t="b">
        <f t="shared" si="19"/>
        <v>0</v>
      </c>
    </row>
    <row r="295" spans="1:32">
      <c r="A295" t="s">
        <v>1190</v>
      </c>
      <c r="B295" s="1" t="s">
        <v>1191</v>
      </c>
      <c r="C295" s="2">
        <v>46154.805937500001</v>
      </c>
      <c r="D295" s="1" t="s">
        <v>30</v>
      </c>
      <c r="E295" s="1" t="s">
        <v>223</v>
      </c>
      <c r="F295" s="1" t="s">
        <v>524</v>
      </c>
      <c r="G295" s="3">
        <v>46154</v>
      </c>
      <c r="H295" s="1" t="s">
        <v>1192</v>
      </c>
      <c r="I295" s="1" t="s">
        <v>34</v>
      </c>
      <c r="J295" s="1" t="s">
        <v>35</v>
      </c>
      <c r="K295" s="1" t="s">
        <v>211</v>
      </c>
      <c r="L295" t="s">
        <v>524</v>
      </c>
      <c r="M295" s="1" t="s">
        <v>37</v>
      </c>
      <c r="N295" s="3">
        <v>46154</v>
      </c>
      <c r="O295" s="1" t="s">
        <v>30</v>
      </c>
      <c r="P295" s="4">
        <v>60000</v>
      </c>
      <c r="Q295" s="5">
        <v>48</v>
      </c>
      <c r="R295" s="1" t="s">
        <v>38</v>
      </c>
      <c r="S295" s="5">
        <v>20000</v>
      </c>
      <c r="T295" s="1" t="s">
        <v>39</v>
      </c>
      <c r="U295" s="4">
        <v>77891.98</v>
      </c>
      <c r="Y295" s="1" t="s">
        <v>227</v>
      </c>
      <c r="Z295" s="3">
        <v>46154</v>
      </c>
      <c r="AA295" s="1" t="s">
        <v>41</v>
      </c>
      <c r="AB295" s="1" t="s">
        <v>42</v>
      </c>
      <c r="AC295" t="b">
        <f t="shared" si="16"/>
        <v>0</v>
      </c>
      <c r="AD295" t="b">
        <f t="shared" si="17"/>
        <v>0</v>
      </c>
      <c r="AE295" t="b">
        <f t="shared" si="18"/>
        <v>0</v>
      </c>
      <c r="AF295" t="b">
        <f t="shared" si="19"/>
        <v>0</v>
      </c>
    </row>
    <row r="296" spans="1:32">
      <c r="A296" t="s">
        <v>1193</v>
      </c>
      <c r="B296" s="1" t="s">
        <v>1194</v>
      </c>
      <c r="C296" s="2">
        <v>46147.972280092603</v>
      </c>
      <c r="D296" s="1" t="s">
        <v>30</v>
      </c>
      <c r="E296" s="1" t="s">
        <v>1195</v>
      </c>
      <c r="F296" s="1" t="s">
        <v>952</v>
      </c>
      <c r="G296" s="3">
        <v>46136</v>
      </c>
      <c r="H296" s="1" t="s">
        <v>1196</v>
      </c>
      <c r="I296" s="1" t="s">
        <v>34</v>
      </c>
      <c r="J296" s="1" t="s">
        <v>35</v>
      </c>
      <c r="K296" s="1" t="s">
        <v>831</v>
      </c>
      <c r="L296" t="s">
        <v>952</v>
      </c>
      <c r="N296" s="3">
        <v>46133</v>
      </c>
      <c r="O296" s="1" t="s">
        <v>30</v>
      </c>
      <c r="P296" s="4">
        <v>60000</v>
      </c>
      <c r="Q296" s="5">
        <v>3</v>
      </c>
      <c r="R296" s="1" t="s">
        <v>38</v>
      </c>
      <c r="S296" s="5">
        <v>100</v>
      </c>
      <c r="T296" s="1" t="s">
        <v>39</v>
      </c>
      <c r="U296" s="4">
        <v>76740</v>
      </c>
      <c r="Y296" s="1" t="s">
        <v>72</v>
      </c>
      <c r="Z296" s="3">
        <v>46136</v>
      </c>
      <c r="AA296" s="1" t="s">
        <v>41</v>
      </c>
      <c r="AB296" s="1" t="s">
        <v>42</v>
      </c>
      <c r="AC296" t="b">
        <f t="shared" si="16"/>
        <v>0</v>
      </c>
      <c r="AD296" t="b">
        <f t="shared" si="17"/>
        <v>0</v>
      </c>
      <c r="AE296" t="b">
        <f t="shared" si="18"/>
        <v>0</v>
      </c>
      <c r="AF296" t="b">
        <f t="shared" si="19"/>
        <v>0</v>
      </c>
    </row>
    <row r="297" spans="1:32">
      <c r="A297" t="s">
        <v>1197</v>
      </c>
      <c r="B297" s="1" t="s">
        <v>1198</v>
      </c>
      <c r="C297" s="2">
        <v>46065.0233449074</v>
      </c>
      <c r="D297" s="1" t="s">
        <v>30</v>
      </c>
      <c r="E297" s="1" t="s">
        <v>1199</v>
      </c>
      <c r="F297" s="1" t="s">
        <v>248</v>
      </c>
      <c r="G297" s="3">
        <v>46064</v>
      </c>
      <c r="H297" s="1" t="s">
        <v>1200</v>
      </c>
      <c r="I297" s="1" t="s">
        <v>1201</v>
      </c>
      <c r="J297" s="1" t="s">
        <v>1202</v>
      </c>
      <c r="K297" s="1" t="s">
        <v>1202</v>
      </c>
      <c r="L297" t="s">
        <v>248</v>
      </c>
      <c r="M297" s="1" t="s">
        <v>37</v>
      </c>
      <c r="N297" s="3">
        <v>46064</v>
      </c>
      <c r="O297" s="1" t="s">
        <v>30</v>
      </c>
      <c r="P297" s="4">
        <v>60000</v>
      </c>
      <c r="Q297" s="5">
        <v>12</v>
      </c>
      <c r="R297" s="1" t="s">
        <v>38</v>
      </c>
      <c r="T297" s="1" t="s">
        <v>39</v>
      </c>
      <c r="U297" s="4">
        <v>72666</v>
      </c>
      <c r="Y297" s="1" t="s">
        <v>58</v>
      </c>
      <c r="Z297" s="3">
        <v>46064</v>
      </c>
      <c r="AA297" s="1" t="s">
        <v>41</v>
      </c>
      <c r="AB297" s="1" t="s">
        <v>42</v>
      </c>
      <c r="AC297" t="b">
        <f t="shared" si="16"/>
        <v>0</v>
      </c>
      <c r="AD297" t="b">
        <f t="shared" si="17"/>
        <v>0</v>
      </c>
      <c r="AE297" t="b">
        <f t="shared" si="18"/>
        <v>0</v>
      </c>
      <c r="AF297" t="b">
        <f t="shared" si="19"/>
        <v>0</v>
      </c>
    </row>
    <row r="298" spans="1:32">
      <c r="A298" t="s">
        <v>1203</v>
      </c>
      <c r="B298" s="1" t="s">
        <v>1204</v>
      </c>
      <c r="C298" s="2">
        <v>46062.865682870397</v>
      </c>
      <c r="D298" s="1" t="s">
        <v>30</v>
      </c>
      <c r="E298" s="1" t="s">
        <v>920</v>
      </c>
      <c r="F298" s="1" t="s">
        <v>266</v>
      </c>
      <c r="G298" s="3">
        <v>46062</v>
      </c>
      <c r="H298" s="1" t="s">
        <v>1205</v>
      </c>
      <c r="I298" s="1" t="s">
        <v>63</v>
      </c>
      <c r="J298" s="1" t="s">
        <v>35</v>
      </c>
      <c r="K298" s="1" t="s">
        <v>1206</v>
      </c>
      <c r="L298" t="s">
        <v>266</v>
      </c>
      <c r="N298" s="3">
        <v>46062</v>
      </c>
      <c r="O298" s="1" t="s">
        <v>30</v>
      </c>
      <c r="P298" s="4">
        <v>61000</v>
      </c>
      <c r="Q298" s="5">
        <v>1</v>
      </c>
      <c r="R298" s="1" t="s">
        <v>38</v>
      </c>
      <c r="T298" s="1" t="s">
        <v>39</v>
      </c>
      <c r="U298" s="4">
        <v>73651.429999999993</v>
      </c>
      <c r="V298" s="5">
        <v>1</v>
      </c>
      <c r="W298" s="5">
        <v>0</v>
      </c>
      <c r="Y298" s="1" t="s">
        <v>72</v>
      </c>
      <c r="Z298" s="3">
        <v>46062</v>
      </c>
      <c r="AA298" s="1" t="s">
        <v>41</v>
      </c>
      <c r="AB298" s="1" t="s">
        <v>42</v>
      </c>
      <c r="AC298" t="b">
        <f t="shared" si="16"/>
        <v>0</v>
      </c>
      <c r="AD298" t="b">
        <f t="shared" si="17"/>
        <v>0</v>
      </c>
      <c r="AE298" t="b">
        <f t="shared" si="18"/>
        <v>0</v>
      </c>
      <c r="AF298" t="b">
        <f t="shared" si="19"/>
        <v>0</v>
      </c>
    </row>
    <row r="299" spans="1:32">
      <c r="A299" t="s">
        <v>1207</v>
      </c>
      <c r="B299" s="1" t="s">
        <v>1208</v>
      </c>
      <c r="C299" s="2">
        <v>46178.826388888898</v>
      </c>
      <c r="D299" s="1" t="s">
        <v>30</v>
      </c>
      <c r="E299" s="1" t="s">
        <v>503</v>
      </c>
      <c r="F299" s="1" t="s">
        <v>504</v>
      </c>
      <c r="H299" s="1" t="s">
        <v>1209</v>
      </c>
      <c r="I299" s="1" t="s">
        <v>34</v>
      </c>
      <c r="J299" s="1" t="s">
        <v>35</v>
      </c>
      <c r="K299" s="1" t="s">
        <v>891</v>
      </c>
      <c r="L299" t="s">
        <v>504</v>
      </c>
      <c r="M299" s="1" t="s">
        <v>37</v>
      </c>
      <c r="O299" s="1" t="s">
        <v>30</v>
      </c>
      <c r="P299" s="4">
        <v>61977.440000000002</v>
      </c>
      <c r="Q299" s="5">
        <v>16</v>
      </c>
      <c r="S299" s="5">
        <v>888</v>
      </c>
      <c r="T299" s="1" t="s">
        <v>39</v>
      </c>
      <c r="U299" s="4">
        <v>78544</v>
      </c>
      <c r="Y299" s="1" t="s">
        <v>115</v>
      </c>
      <c r="Z299" s="3">
        <v>46256</v>
      </c>
      <c r="AA299" s="1" t="s">
        <v>506</v>
      </c>
      <c r="AB299" s="1" t="s">
        <v>507</v>
      </c>
      <c r="AC299" t="b">
        <f t="shared" si="16"/>
        <v>0</v>
      </c>
      <c r="AD299" t="b">
        <f t="shared" si="17"/>
        <v>0</v>
      </c>
      <c r="AE299" t="b">
        <f t="shared" si="18"/>
        <v>0</v>
      </c>
      <c r="AF299" t="b">
        <f t="shared" si="19"/>
        <v>0</v>
      </c>
    </row>
    <row r="300" spans="1:32">
      <c r="A300" t="s">
        <v>1210</v>
      </c>
      <c r="B300" s="1" t="s">
        <v>1211</v>
      </c>
      <c r="C300" s="2">
        <v>46171.771666666697</v>
      </c>
      <c r="D300" s="1" t="s">
        <v>30</v>
      </c>
      <c r="E300" s="1" t="s">
        <v>327</v>
      </c>
      <c r="F300" s="1" t="s">
        <v>328</v>
      </c>
      <c r="G300" s="3">
        <v>46171</v>
      </c>
      <c r="H300" s="1" t="s">
        <v>910</v>
      </c>
      <c r="I300" s="1" t="s">
        <v>63</v>
      </c>
      <c r="J300" s="1" t="s">
        <v>324</v>
      </c>
      <c r="K300" s="1" t="s">
        <v>35</v>
      </c>
      <c r="L300" t="s">
        <v>328</v>
      </c>
      <c r="M300" s="1" t="s">
        <v>45</v>
      </c>
      <c r="N300" s="3">
        <v>46171</v>
      </c>
      <c r="O300" s="1" t="s">
        <v>30</v>
      </c>
      <c r="P300" s="4">
        <v>62000</v>
      </c>
      <c r="Q300" s="5">
        <v>8</v>
      </c>
      <c r="R300" s="1" t="s">
        <v>38</v>
      </c>
      <c r="T300" s="1" t="s">
        <v>39</v>
      </c>
      <c r="U300" s="4">
        <v>78863.990000000005</v>
      </c>
      <c r="V300" s="5">
        <v>0</v>
      </c>
      <c r="W300" s="5">
        <v>15</v>
      </c>
      <c r="Y300" s="1" t="s">
        <v>72</v>
      </c>
      <c r="Z300" s="3">
        <v>46171</v>
      </c>
      <c r="AA300" s="1" t="s">
        <v>41</v>
      </c>
      <c r="AB300" s="1" t="s">
        <v>42</v>
      </c>
      <c r="AC300" t="b">
        <f t="shared" si="16"/>
        <v>0</v>
      </c>
      <c r="AD300" t="b">
        <f t="shared" si="17"/>
        <v>0</v>
      </c>
      <c r="AE300" t="b">
        <f t="shared" si="18"/>
        <v>0</v>
      </c>
      <c r="AF300" t="b">
        <f t="shared" si="19"/>
        <v>0</v>
      </c>
    </row>
    <row r="301" spans="1:32">
      <c r="A301" t="s">
        <v>1212</v>
      </c>
      <c r="B301" s="1" t="s">
        <v>1213</v>
      </c>
      <c r="C301" s="2">
        <v>46136.840347222198</v>
      </c>
      <c r="D301" s="1" t="s">
        <v>30</v>
      </c>
      <c r="E301" s="1" t="s">
        <v>1214</v>
      </c>
      <c r="F301" s="1" t="s">
        <v>652</v>
      </c>
      <c r="G301" s="3">
        <v>46136</v>
      </c>
      <c r="H301" s="1" t="s">
        <v>1215</v>
      </c>
      <c r="I301" s="1" t="s">
        <v>63</v>
      </c>
      <c r="J301" s="1" t="s">
        <v>35</v>
      </c>
      <c r="K301" s="1" t="s">
        <v>211</v>
      </c>
      <c r="L301" t="s">
        <v>652</v>
      </c>
      <c r="N301" s="3">
        <v>46136</v>
      </c>
      <c r="O301" s="1" t="s">
        <v>30</v>
      </c>
      <c r="P301" s="4">
        <v>62900</v>
      </c>
      <c r="Q301" s="5">
        <v>1</v>
      </c>
      <c r="R301" s="1" t="s">
        <v>38</v>
      </c>
      <c r="T301" s="1" t="s">
        <v>39</v>
      </c>
      <c r="U301" s="4">
        <v>80178.62</v>
      </c>
      <c r="V301" s="5">
        <v>4</v>
      </c>
      <c r="W301" s="5">
        <v>0</v>
      </c>
      <c r="Y301" s="1" t="s">
        <v>58</v>
      </c>
      <c r="Z301" s="3">
        <v>46136</v>
      </c>
      <c r="AA301" s="1" t="s">
        <v>41</v>
      </c>
      <c r="AB301" s="1" t="s">
        <v>42</v>
      </c>
      <c r="AC301" t="b">
        <f t="shared" si="16"/>
        <v>0</v>
      </c>
      <c r="AD301" t="b">
        <f t="shared" si="17"/>
        <v>0</v>
      </c>
      <c r="AE301" t="b">
        <f t="shared" si="18"/>
        <v>0</v>
      </c>
      <c r="AF301" t="b">
        <f t="shared" si="19"/>
        <v>0</v>
      </c>
    </row>
    <row r="302" spans="1:32">
      <c r="A302" t="s">
        <v>1216</v>
      </c>
      <c r="B302" s="1" t="s">
        <v>1217</v>
      </c>
      <c r="C302" s="2">
        <v>46171.786192129599</v>
      </c>
      <c r="D302" s="1" t="s">
        <v>30</v>
      </c>
      <c r="E302" s="1" t="s">
        <v>1111</v>
      </c>
      <c r="F302" s="1" t="s">
        <v>313</v>
      </c>
      <c r="G302" s="3">
        <v>46171</v>
      </c>
      <c r="H302" s="1" t="s">
        <v>1218</v>
      </c>
      <c r="I302" s="1" t="s">
        <v>63</v>
      </c>
      <c r="J302" s="1" t="s">
        <v>35</v>
      </c>
      <c r="K302" s="1" t="s">
        <v>232</v>
      </c>
      <c r="L302" t="s">
        <v>313</v>
      </c>
      <c r="M302" s="1" t="s">
        <v>37</v>
      </c>
      <c r="N302" s="3">
        <v>46171</v>
      </c>
      <c r="O302" s="1" t="s">
        <v>30</v>
      </c>
      <c r="P302" s="4">
        <v>63000</v>
      </c>
      <c r="Q302" s="5">
        <v>1</v>
      </c>
      <c r="R302" s="1" t="s">
        <v>38</v>
      </c>
      <c r="T302" s="1" t="s">
        <v>39</v>
      </c>
      <c r="U302" s="4">
        <v>80135.990000000005</v>
      </c>
      <c r="V302" s="5">
        <v>0</v>
      </c>
      <c r="W302" s="5">
        <v>77</v>
      </c>
      <c r="Y302" s="1" t="s">
        <v>40</v>
      </c>
      <c r="Z302" s="3">
        <v>46171</v>
      </c>
      <c r="AA302" s="1" t="s">
        <v>41</v>
      </c>
      <c r="AB302" s="1" t="s">
        <v>42</v>
      </c>
      <c r="AC302" t="b">
        <f t="shared" si="16"/>
        <v>0</v>
      </c>
      <c r="AD302" t="b">
        <f t="shared" si="17"/>
        <v>0</v>
      </c>
      <c r="AE302" t="b">
        <f t="shared" si="18"/>
        <v>0</v>
      </c>
      <c r="AF302" t="b">
        <f t="shared" si="19"/>
        <v>1</v>
      </c>
    </row>
    <row r="303" spans="1:32">
      <c r="A303" t="s">
        <v>1219</v>
      </c>
      <c r="B303" s="1" t="s">
        <v>1220</v>
      </c>
      <c r="C303" s="2">
        <v>46139.569016203699</v>
      </c>
      <c r="D303" s="1" t="s">
        <v>30</v>
      </c>
      <c r="E303" s="1" t="s">
        <v>757</v>
      </c>
      <c r="F303" s="1" t="s">
        <v>524</v>
      </c>
      <c r="G303" s="3">
        <v>46139</v>
      </c>
      <c r="H303" s="1" t="s">
        <v>1221</v>
      </c>
      <c r="I303" s="1" t="s">
        <v>34</v>
      </c>
      <c r="J303" s="1" t="s">
        <v>114</v>
      </c>
      <c r="K303" s="1" t="s">
        <v>35</v>
      </c>
      <c r="L303" t="s">
        <v>524</v>
      </c>
      <c r="M303" s="1" t="s">
        <v>45</v>
      </c>
      <c r="N303" s="3">
        <v>46139</v>
      </c>
      <c r="O303" s="1" t="s">
        <v>30</v>
      </c>
      <c r="P303" s="4">
        <v>63350</v>
      </c>
      <c r="Q303" s="5">
        <v>1</v>
      </c>
      <c r="R303" s="1" t="s">
        <v>38</v>
      </c>
      <c r="S303" s="5">
        <v>2000</v>
      </c>
      <c r="T303" s="1" t="s">
        <v>39</v>
      </c>
      <c r="U303" s="4">
        <v>80752.23</v>
      </c>
      <c r="Y303" s="1" t="s">
        <v>227</v>
      </c>
      <c r="Z303" s="3">
        <v>46139</v>
      </c>
      <c r="AA303" s="1" t="s">
        <v>41</v>
      </c>
      <c r="AB303" s="1" t="s">
        <v>42</v>
      </c>
      <c r="AC303" t="b">
        <f t="shared" si="16"/>
        <v>0</v>
      </c>
      <c r="AD303" t="b">
        <f t="shared" si="17"/>
        <v>0</v>
      </c>
      <c r="AE303" t="b">
        <f t="shared" si="18"/>
        <v>0</v>
      </c>
      <c r="AF303" t="b">
        <f t="shared" si="19"/>
        <v>0</v>
      </c>
    </row>
    <row r="304" spans="1:32">
      <c r="A304" t="s">
        <v>1222</v>
      </c>
      <c r="B304" s="1" t="s">
        <v>1223</v>
      </c>
      <c r="C304" s="2">
        <v>46114.092499999999</v>
      </c>
      <c r="D304" s="1" t="s">
        <v>30</v>
      </c>
      <c r="E304" s="1" t="s">
        <v>938</v>
      </c>
      <c r="F304" s="1" t="s">
        <v>533</v>
      </c>
      <c r="G304" s="3">
        <v>46081</v>
      </c>
      <c r="H304" s="1" t="s">
        <v>1137</v>
      </c>
      <c r="I304" s="1" t="s">
        <v>63</v>
      </c>
      <c r="J304" s="1" t="s">
        <v>35</v>
      </c>
      <c r="K304" s="1" t="s">
        <v>136</v>
      </c>
      <c r="L304" t="s">
        <v>443</v>
      </c>
      <c r="N304" s="3">
        <v>46066</v>
      </c>
      <c r="O304" s="1" t="s">
        <v>30</v>
      </c>
      <c r="P304" s="4">
        <v>65000</v>
      </c>
      <c r="Q304" s="5">
        <v>3</v>
      </c>
      <c r="R304" s="1" t="s">
        <v>65</v>
      </c>
      <c r="T304" s="1" t="s">
        <v>39</v>
      </c>
      <c r="U304" s="4">
        <v>78467.990000000005</v>
      </c>
      <c r="V304" s="5">
        <v>2</v>
      </c>
      <c r="W304" s="5">
        <v>30</v>
      </c>
      <c r="Z304" s="3">
        <v>46081</v>
      </c>
      <c r="AA304" s="1" t="s">
        <v>41</v>
      </c>
      <c r="AB304" s="1" t="s">
        <v>42</v>
      </c>
      <c r="AC304" t="b">
        <f t="shared" si="16"/>
        <v>0</v>
      </c>
      <c r="AD304" t="b">
        <f t="shared" si="17"/>
        <v>0</v>
      </c>
      <c r="AE304" t="b">
        <f t="shared" si="18"/>
        <v>0</v>
      </c>
      <c r="AF304" t="b">
        <f t="shared" si="19"/>
        <v>0</v>
      </c>
    </row>
    <row r="305" spans="1:32">
      <c r="A305" t="s">
        <v>1224</v>
      </c>
      <c r="B305" s="1" t="s">
        <v>1225</v>
      </c>
      <c r="C305" s="2">
        <v>46114.097638888903</v>
      </c>
      <c r="D305" s="1" t="s">
        <v>30</v>
      </c>
      <c r="E305" s="1" t="s">
        <v>938</v>
      </c>
      <c r="F305" s="1" t="s">
        <v>533</v>
      </c>
      <c r="G305" s="3">
        <v>46081</v>
      </c>
      <c r="H305" s="1" t="s">
        <v>1137</v>
      </c>
      <c r="I305" s="1" t="s">
        <v>63</v>
      </c>
      <c r="J305" s="1" t="s">
        <v>35</v>
      </c>
      <c r="K305" s="1" t="s">
        <v>315</v>
      </c>
      <c r="L305" t="s">
        <v>443</v>
      </c>
      <c r="N305" s="3">
        <v>46066</v>
      </c>
      <c r="O305" s="1" t="s">
        <v>30</v>
      </c>
      <c r="P305" s="4">
        <v>65000</v>
      </c>
      <c r="Q305" s="5">
        <v>3</v>
      </c>
      <c r="R305" s="1" t="s">
        <v>65</v>
      </c>
      <c r="T305" s="1" t="s">
        <v>39</v>
      </c>
      <c r="U305" s="4">
        <v>78467.990000000005</v>
      </c>
      <c r="V305" s="5">
        <v>2</v>
      </c>
      <c r="W305" s="5">
        <v>30</v>
      </c>
      <c r="Z305" s="3">
        <v>46081</v>
      </c>
      <c r="AA305" s="1" t="s">
        <v>41</v>
      </c>
      <c r="AB305" s="1" t="s">
        <v>42</v>
      </c>
      <c r="AC305" t="b">
        <f t="shared" si="16"/>
        <v>0</v>
      </c>
      <c r="AD305" t="b">
        <f t="shared" si="17"/>
        <v>0</v>
      </c>
      <c r="AE305" t="b">
        <f t="shared" si="18"/>
        <v>0</v>
      </c>
      <c r="AF305" t="b">
        <f t="shared" si="19"/>
        <v>0</v>
      </c>
    </row>
    <row r="306" spans="1:32">
      <c r="A306" t="s">
        <v>1226</v>
      </c>
      <c r="B306" s="1" t="s">
        <v>1227</v>
      </c>
      <c r="C306" s="2">
        <v>46178.817847222199</v>
      </c>
      <c r="D306" s="1" t="s">
        <v>30</v>
      </c>
      <c r="E306" s="1" t="s">
        <v>503</v>
      </c>
      <c r="F306" s="1" t="s">
        <v>504</v>
      </c>
      <c r="H306" s="1" t="s">
        <v>1228</v>
      </c>
      <c r="I306" s="1" t="s">
        <v>34</v>
      </c>
      <c r="J306" s="1" t="s">
        <v>232</v>
      </c>
      <c r="K306" s="1" t="s">
        <v>35</v>
      </c>
      <c r="L306" t="s">
        <v>504</v>
      </c>
      <c r="M306" s="1" t="s">
        <v>45</v>
      </c>
      <c r="O306" s="1" t="s">
        <v>30</v>
      </c>
      <c r="P306" s="4">
        <v>65636.800000000003</v>
      </c>
      <c r="Q306" s="5">
        <v>16</v>
      </c>
      <c r="S306" s="5">
        <v>605</v>
      </c>
      <c r="T306" s="1" t="s">
        <v>39</v>
      </c>
      <c r="U306" s="4">
        <v>83181.509999999995</v>
      </c>
      <c r="Y306" s="1" t="s">
        <v>115</v>
      </c>
      <c r="Z306" s="3">
        <v>46263</v>
      </c>
      <c r="AA306" s="1" t="s">
        <v>506</v>
      </c>
      <c r="AB306" s="1" t="s">
        <v>507</v>
      </c>
      <c r="AC306" t="b">
        <f t="shared" si="16"/>
        <v>0</v>
      </c>
      <c r="AD306" t="b">
        <f t="shared" si="17"/>
        <v>0</v>
      </c>
      <c r="AE306" t="b">
        <f t="shared" si="18"/>
        <v>0</v>
      </c>
      <c r="AF306" t="b">
        <f t="shared" si="19"/>
        <v>0</v>
      </c>
    </row>
    <row r="307" spans="1:32">
      <c r="A307" t="s">
        <v>1229</v>
      </c>
      <c r="B307" s="1" t="s">
        <v>1230</v>
      </c>
      <c r="C307" s="2">
        <v>46170.469351851898</v>
      </c>
      <c r="D307" s="1" t="s">
        <v>30</v>
      </c>
      <c r="E307" s="1" t="s">
        <v>510</v>
      </c>
      <c r="F307" s="1" t="s">
        <v>348</v>
      </c>
      <c r="G307" s="3">
        <v>46170</v>
      </c>
      <c r="H307" s="1" t="s">
        <v>1231</v>
      </c>
      <c r="I307" s="1" t="s">
        <v>34</v>
      </c>
      <c r="J307" s="1" t="s">
        <v>103</v>
      </c>
      <c r="K307" s="1" t="s">
        <v>35</v>
      </c>
      <c r="L307" t="s">
        <v>348</v>
      </c>
      <c r="N307" s="3">
        <v>46170</v>
      </c>
      <c r="O307" s="1" t="s">
        <v>30</v>
      </c>
      <c r="P307" s="4">
        <v>66000</v>
      </c>
      <c r="Q307" s="5">
        <v>1</v>
      </c>
      <c r="R307" s="1" t="s">
        <v>38</v>
      </c>
      <c r="S307" s="5">
        <v>1600</v>
      </c>
      <c r="T307" s="1" t="s">
        <v>39</v>
      </c>
      <c r="U307" s="4">
        <v>84202.82</v>
      </c>
      <c r="Y307" s="1" t="s">
        <v>227</v>
      </c>
      <c r="Z307" s="3">
        <v>46170</v>
      </c>
      <c r="AA307" s="1" t="s">
        <v>41</v>
      </c>
      <c r="AB307" s="1" t="s">
        <v>42</v>
      </c>
      <c r="AC307" t="b">
        <f t="shared" si="16"/>
        <v>0</v>
      </c>
      <c r="AD307" t="b">
        <f t="shared" si="17"/>
        <v>0</v>
      </c>
      <c r="AE307" t="b">
        <f t="shared" si="18"/>
        <v>0</v>
      </c>
      <c r="AF307" t="b">
        <f t="shared" si="19"/>
        <v>0</v>
      </c>
    </row>
    <row r="308" spans="1:32">
      <c r="A308" t="s">
        <v>1232</v>
      </c>
      <c r="B308" s="1" t="s">
        <v>1233</v>
      </c>
      <c r="C308" s="2">
        <v>46076.919340277796</v>
      </c>
      <c r="D308" s="1" t="s">
        <v>30</v>
      </c>
      <c r="E308" s="1" t="s">
        <v>1234</v>
      </c>
      <c r="F308" s="1" t="s">
        <v>274</v>
      </c>
      <c r="G308" s="3">
        <v>46082</v>
      </c>
      <c r="H308" s="1" t="s">
        <v>1235</v>
      </c>
      <c r="I308" s="1" t="s">
        <v>852</v>
      </c>
      <c r="J308" s="1" t="s">
        <v>35</v>
      </c>
      <c r="K308" s="1" t="s">
        <v>232</v>
      </c>
      <c r="L308" t="s">
        <v>274</v>
      </c>
      <c r="M308" s="1" t="s">
        <v>37</v>
      </c>
      <c r="N308" s="3">
        <v>46076</v>
      </c>
      <c r="O308" s="1" t="s">
        <v>30</v>
      </c>
      <c r="P308" s="4">
        <v>66502</v>
      </c>
      <c r="Q308" s="5">
        <v>1</v>
      </c>
      <c r="R308" s="1" t="s">
        <v>38</v>
      </c>
      <c r="S308" s="5">
        <v>0</v>
      </c>
      <c r="T308" s="1" t="s">
        <v>39</v>
      </c>
      <c r="U308" s="4">
        <v>81365.19</v>
      </c>
      <c r="V308" s="5">
        <v>2</v>
      </c>
      <c r="W308" s="5">
        <v>0</v>
      </c>
      <c r="Y308" s="1" t="s">
        <v>72</v>
      </c>
      <c r="Z308" s="3">
        <v>46082</v>
      </c>
      <c r="AA308" s="1" t="s">
        <v>41</v>
      </c>
      <c r="AB308" s="1" t="s">
        <v>42</v>
      </c>
      <c r="AC308" t="b">
        <f t="shared" si="16"/>
        <v>0</v>
      </c>
      <c r="AD308" t="b">
        <f t="shared" si="17"/>
        <v>0</v>
      </c>
      <c r="AE308" t="b">
        <f t="shared" si="18"/>
        <v>0</v>
      </c>
      <c r="AF308" t="b">
        <f t="shared" si="19"/>
        <v>0</v>
      </c>
    </row>
    <row r="309" spans="1:32">
      <c r="A309" t="s">
        <v>1236</v>
      </c>
      <c r="B309" s="1" t="s">
        <v>1237</v>
      </c>
      <c r="C309" s="2">
        <v>46101.560219907398</v>
      </c>
      <c r="D309" s="1" t="s">
        <v>30</v>
      </c>
      <c r="E309" s="1" t="s">
        <v>650</v>
      </c>
      <c r="F309" s="1" t="s">
        <v>533</v>
      </c>
      <c r="G309" s="3">
        <v>46101</v>
      </c>
      <c r="H309" s="1" t="s">
        <v>942</v>
      </c>
      <c r="I309" s="1" t="s">
        <v>63</v>
      </c>
      <c r="J309" s="1" t="s">
        <v>78</v>
      </c>
      <c r="K309" s="1" t="s">
        <v>35</v>
      </c>
      <c r="L309" t="s">
        <v>652</v>
      </c>
      <c r="M309" s="1" t="s">
        <v>45</v>
      </c>
      <c r="N309" s="3">
        <v>46101</v>
      </c>
      <c r="O309" s="1" t="s">
        <v>30</v>
      </c>
      <c r="P309" s="4">
        <v>67000</v>
      </c>
      <c r="Q309" s="5">
        <v>20</v>
      </c>
      <c r="R309" s="1" t="s">
        <v>65</v>
      </c>
      <c r="S309" s="5">
        <v>0</v>
      </c>
      <c r="T309" s="1" t="s">
        <v>39</v>
      </c>
      <c r="U309" s="4">
        <v>83207.289999999994</v>
      </c>
      <c r="V309" s="5">
        <v>0</v>
      </c>
      <c r="W309" s="5">
        <v>23</v>
      </c>
      <c r="Z309" s="3">
        <v>46101</v>
      </c>
      <c r="AA309" s="1" t="s">
        <v>41</v>
      </c>
      <c r="AB309" s="1" t="s">
        <v>42</v>
      </c>
      <c r="AC309" t="b">
        <f t="shared" si="16"/>
        <v>1</v>
      </c>
      <c r="AD309" t="b">
        <f t="shared" si="17"/>
        <v>0</v>
      </c>
      <c r="AE309" t="b">
        <f t="shared" si="18"/>
        <v>0</v>
      </c>
      <c r="AF309" t="b">
        <f t="shared" si="19"/>
        <v>0</v>
      </c>
    </row>
    <row r="310" spans="1:32">
      <c r="A310" t="s">
        <v>1238</v>
      </c>
      <c r="B310" s="1" t="s">
        <v>1239</v>
      </c>
      <c r="C310" s="2">
        <v>46170.878634259301</v>
      </c>
      <c r="D310" s="1" t="s">
        <v>30</v>
      </c>
      <c r="E310" s="1" t="s">
        <v>1240</v>
      </c>
      <c r="F310" s="1" t="s">
        <v>328</v>
      </c>
      <c r="G310" s="3">
        <v>46203</v>
      </c>
      <c r="H310" s="1" t="s">
        <v>1241</v>
      </c>
      <c r="I310" s="1" t="s">
        <v>63</v>
      </c>
      <c r="J310" s="1" t="s">
        <v>57</v>
      </c>
      <c r="K310" s="1" t="s">
        <v>35</v>
      </c>
      <c r="L310" t="s">
        <v>328</v>
      </c>
      <c r="M310" s="1" t="s">
        <v>45</v>
      </c>
      <c r="N310" s="3">
        <v>46170</v>
      </c>
      <c r="O310" s="1" t="s">
        <v>30</v>
      </c>
      <c r="P310" s="4">
        <v>68219</v>
      </c>
      <c r="Q310" s="5">
        <v>1</v>
      </c>
      <c r="R310" s="1" t="s">
        <v>38</v>
      </c>
      <c r="T310" s="1" t="s">
        <v>39</v>
      </c>
      <c r="U310" s="4">
        <v>86535.78</v>
      </c>
      <c r="V310" s="5">
        <v>9</v>
      </c>
      <c r="W310" s="5">
        <v>0</v>
      </c>
      <c r="Y310" s="1" t="s">
        <v>72</v>
      </c>
      <c r="Z310" s="3">
        <v>46203</v>
      </c>
      <c r="AA310" s="1" t="s">
        <v>41</v>
      </c>
      <c r="AB310" s="1" t="s">
        <v>42</v>
      </c>
      <c r="AC310" t="b">
        <f t="shared" si="16"/>
        <v>0</v>
      </c>
      <c r="AD310" t="b">
        <f t="shared" si="17"/>
        <v>0</v>
      </c>
      <c r="AE310" t="b">
        <f t="shared" si="18"/>
        <v>0</v>
      </c>
      <c r="AF310" t="b">
        <f t="shared" si="19"/>
        <v>0</v>
      </c>
    </row>
    <row r="311" spans="1:32">
      <c r="A311" t="s">
        <v>1242</v>
      </c>
      <c r="B311" s="1" t="s">
        <v>1243</v>
      </c>
      <c r="C311" s="2">
        <v>46161.883125</v>
      </c>
      <c r="D311" s="1" t="s">
        <v>30</v>
      </c>
      <c r="E311" s="1" t="s">
        <v>685</v>
      </c>
      <c r="F311" s="1" t="s">
        <v>348</v>
      </c>
      <c r="G311" s="3">
        <v>46164</v>
      </c>
      <c r="H311" s="1" t="s">
        <v>1244</v>
      </c>
      <c r="I311" s="1" t="s">
        <v>34</v>
      </c>
      <c r="J311" s="1" t="s">
        <v>103</v>
      </c>
      <c r="K311" s="1" t="s">
        <v>35</v>
      </c>
      <c r="L311" t="s">
        <v>348</v>
      </c>
      <c r="M311" s="1" t="s">
        <v>45</v>
      </c>
      <c r="N311" s="3">
        <v>46161</v>
      </c>
      <c r="O311" s="1" t="s">
        <v>30</v>
      </c>
      <c r="P311" s="4">
        <v>70000</v>
      </c>
      <c r="Q311" s="5">
        <v>10</v>
      </c>
      <c r="R311" s="1" t="s">
        <v>65</v>
      </c>
      <c r="S311" s="5">
        <v>3000</v>
      </c>
      <c r="T311" s="1" t="s">
        <v>39</v>
      </c>
      <c r="U311" s="4">
        <v>89760.99</v>
      </c>
      <c r="Y311" s="1" t="s">
        <v>227</v>
      </c>
      <c r="Z311" s="3">
        <v>46164</v>
      </c>
      <c r="AA311" s="1" t="s">
        <v>41</v>
      </c>
      <c r="AB311" s="1" t="s">
        <v>42</v>
      </c>
      <c r="AC311" t="b">
        <f t="shared" si="16"/>
        <v>0</v>
      </c>
      <c r="AD311" t="b">
        <f t="shared" si="17"/>
        <v>0</v>
      </c>
      <c r="AE311" t="b">
        <f t="shared" si="18"/>
        <v>0</v>
      </c>
      <c r="AF311" t="b">
        <f t="shared" si="19"/>
        <v>0</v>
      </c>
    </row>
    <row r="312" spans="1:32">
      <c r="A312" t="s">
        <v>1245</v>
      </c>
      <c r="B312" s="1" t="s">
        <v>1246</v>
      </c>
      <c r="C312" s="2">
        <v>46048.919062499997</v>
      </c>
      <c r="D312" s="1" t="s">
        <v>30</v>
      </c>
      <c r="E312" s="1" t="s">
        <v>1247</v>
      </c>
      <c r="F312" s="1" t="s">
        <v>101</v>
      </c>
      <c r="G312" s="3">
        <v>46127</v>
      </c>
      <c r="H312" s="1" t="s">
        <v>1248</v>
      </c>
      <c r="I312" s="1" t="s">
        <v>34</v>
      </c>
      <c r="J312" s="1" t="s">
        <v>35</v>
      </c>
      <c r="K312" s="1" t="s">
        <v>35</v>
      </c>
      <c r="L312" t="s">
        <v>101</v>
      </c>
      <c r="N312" s="3">
        <v>46048</v>
      </c>
      <c r="O312" s="1" t="s">
        <v>30</v>
      </c>
      <c r="P312" s="4">
        <v>70000</v>
      </c>
      <c r="Q312" s="5">
        <v>19</v>
      </c>
      <c r="R312" s="1" t="s">
        <v>38</v>
      </c>
      <c r="S312" s="5">
        <v>121</v>
      </c>
      <c r="T312" s="1" t="s">
        <v>39</v>
      </c>
      <c r="U312" s="4">
        <v>83530.97</v>
      </c>
      <c r="Y312" s="1" t="s">
        <v>72</v>
      </c>
      <c r="Z312" s="3">
        <v>46127</v>
      </c>
      <c r="AA312" s="1" t="s">
        <v>41</v>
      </c>
      <c r="AB312" s="1" t="s">
        <v>42</v>
      </c>
      <c r="AC312" t="b">
        <f t="shared" si="16"/>
        <v>0</v>
      </c>
      <c r="AD312" t="b">
        <f t="shared" si="17"/>
        <v>0</v>
      </c>
      <c r="AE312" t="b">
        <f t="shared" si="18"/>
        <v>0</v>
      </c>
      <c r="AF312" t="b">
        <f t="shared" si="19"/>
        <v>0</v>
      </c>
    </row>
    <row r="313" spans="1:32">
      <c r="A313" t="s">
        <v>1249</v>
      </c>
      <c r="B313" s="1" t="s">
        <v>1250</v>
      </c>
      <c r="C313" s="2">
        <v>46134.705775463</v>
      </c>
      <c r="D313" s="1" t="s">
        <v>30</v>
      </c>
      <c r="E313" s="1" t="s">
        <v>783</v>
      </c>
      <c r="F313" s="1" t="s">
        <v>524</v>
      </c>
      <c r="G313" s="3">
        <v>46142</v>
      </c>
      <c r="H313" s="1" t="s">
        <v>784</v>
      </c>
      <c r="I313" s="1" t="s">
        <v>63</v>
      </c>
      <c r="J313" s="1" t="s">
        <v>357</v>
      </c>
      <c r="K313" s="1" t="s">
        <v>35</v>
      </c>
      <c r="L313" t="s">
        <v>524</v>
      </c>
      <c r="M313" s="1" t="s">
        <v>37</v>
      </c>
      <c r="N313" s="3">
        <v>46134</v>
      </c>
      <c r="O313" s="1" t="s">
        <v>30</v>
      </c>
      <c r="P313" s="4">
        <v>72000</v>
      </c>
      <c r="Q313" s="5">
        <v>87</v>
      </c>
      <c r="R313" s="1" t="s">
        <v>38</v>
      </c>
      <c r="T313" s="1" t="s">
        <v>39</v>
      </c>
      <c r="U313" s="4">
        <v>92260.81</v>
      </c>
      <c r="V313" s="5">
        <v>176</v>
      </c>
      <c r="W313" s="5">
        <v>0</v>
      </c>
      <c r="Y313" s="1" t="s">
        <v>227</v>
      </c>
      <c r="Z313" s="3">
        <v>46142</v>
      </c>
      <c r="AA313" s="1" t="s">
        <v>41</v>
      </c>
      <c r="AB313" s="1" t="s">
        <v>42</v>
      </c>
      <c r="AC313" t="b">
        <f t="shared" si="16"/>
        <v>1</v>
      </c>
      <c r="AD313" t="b">
        <f t="shared" si="17"/>
        <v>0</v>
      </c>
      <c r="AE313" t="b">
        <f t="shared" si="18"/>
        <v>0</v>
      </c>
      <c r="AF313" t="b">
        <f t="shared" si="19"/>
        <v>0</v>
      </c>
    </row>
    <row r="314" spans="1:32">
      <c r="A314" t="s">
        <v>1251</v>
      </c>
      <c r="B314" s="1" t="s">
        <v>1252</v>
      </c>
      <c r="C314" s="2">
        <v>46157.002951388902</v>
      </c>
      <c r="D314" s="1" t="s">
        <v>30</v>
      </c>
      <c r="E314" s="1" t="s">
        <v>586</v>
      </c>
      <c r="F314" s="1" t="s">
        <v>587</v>
      </c>
      <c r="G314" s="3">
        <v>46156</v>
      </c>
      <c r="H314" s="1" t="s">
        <v>1253</v>
      </c>
      <c r="I314" s="1" t="s">
        <v>63</v>
      </c>
      <c r="J314" s="1" t="s">
        <v>315</v>
      </c>
      <c r="K314" s="1" t="s">
        <v>35</v>
      </c>
      <c r="L314" t="s">
        <v>587</v>
      </c>
      <c r="M314" s="1" t="s">
        <v>45</v>
      </c>
      <c r="N314" s="3">
        <v>46156</v>
      </c>
      <c r="O314" s="1" t="s">
        <v>30</v>
      </c>
      <c r="P314" s="4">
        <v>75000</v>
      </c>
      <c r="Q314" s="5">
        <v>52</v>
      </c>
      <c r="R314" s="1" t="s">
        <v>65</v>
      </c>
      <c r="T314" s="1" t="s">
        <v>39</v>
      </c>
      <c r="U314" s="4">
        <v>97732.53</v>
      </c>
      <c r="V314" s="5">
        <v>104</v>
      </c>
      <c r="W314" s="5">
        <v>0</v>
      </c>
      <c r="Y314" s="1" t="s">
        <v>58</v>
      </c>
      <c r="Z314" s="3">
        <v>46156</v>
      </c>
      <c r="AA314" s="1" t="s">
        <v>41</v>
      </c>
      <c r="AB314" s="1" t="s">
        <v>208</v>
      </c>
      <c r="AC314" t="b">
        <f t="shared" si="16"/>
        <v>0</v>
      </c>
      <c r="AD314" t="b">
        <f t="shared" si="17"/>
        <v>0</v>
      </c>
      <c r="AE314" t="b">
        <f t="shared" si="18"/>
        <v>0</v>
      </c>
      <c r="AF314" t="b">
        <f t="shared" si="19"/>
        <v>0</v>
      </c>
    </row>
    <row r="315" spans="1:32">
      <c r="A315" t="s">
        <v>1254</v>
      </c>
      <c r="B315" s="1" t="s">
        <v>1255</v>
      </c>
      <c r="C315" s="2">
        <v>46183.465740740699</v>
      </c>
      <c r="D315" s="1" t="s">
        <v>30</v>
      </c>
      <c r="E315" s="1" t="s">
        <v>1256</v>
      </c>
      <c r="F315" s="1" t="s">
        <v>952</v>
      </c>
      <c r="H315" s="1" t="s">
        <v>1257</v>
      </c>
      <c r="I315" s="1" t="s">
        <v>34</v>
      </c>
      <c r="J315" s="1" t="s">
        <v>35</v>
      </c>
      <c r="K315" s="1" t="s">
        <v>64</v>
      </c>
      <c r="L315" t="s">
        <v>952</v>
      </c>
      <c r="O315" s="1" t="s">
        <v>30</v>
      </c>
      <c r="P315" s="4">
        <v>80000</v>
      </c>
      <c r="Q315" s="5">
        <v>5</v>
      </c>
      <c r="S315" s="5">
        <v>300</v>
      </c>
      <c r="T315" s="1" t="s">
        <v>39</v>
      </c>
      <c r="U315" s="4">
        <v>100639.96</v>
      </c>
      <c r="Y315" s="1" t="s">
        <v>72</v>
      </c>
      <c r="Z315" s="3">
        <v>46246</v>
      </c>
      <c r="AA315" s="1" t="s">
        <v>79</v>
      </c>
      <c r="AB315" s="1" t="s">
        <v>80</v>
      </c>
      <c r="AC315" t="b">
        <f t="shared" si="16"/>
        <v>0</v>
      </c>
      <c r="AD315" t="b">
        <f t="shared" si="17"/>
        <v>0</v>
      </c>
      <c r="AE315" t="b">
        <f t="shared" si="18"/>
        <v>0</v>
      </c>
      <c r="AF315" t="b">
        <f t="shared" si="19"/>
        <v>0</v>
      </c>
    </row>
    <row r="316" spans="1:32">
      <c r="A316" t="s">
        <v>1258</v>
      </c>
      <c r="B316" s="1" t="s">
        <v>1259</v>
      </c>
      <c r="C316" s="2">
        <v>46142.524432870399</v>
      </c>
      <c r="D316" s="1" t="s">
        <v>30</v>
      </c>
      <c r="E316" s="1" t="s">
        <v>1260</v>
      </c>
      <c r="F316" s="1" t="s">
        <v>617</v>
      </c>
      <c r="G316" s="3">
        <v>46142</v>
      </c>
      <c r="H316" s="1" t="s">
        <v>1261</v>
      </c>
      <c r="I316" s="1" t="s">
        <v>34</v>
      </c>
      <c r="J316" s="1" t="s">
        <v>647</v>
      </c>
      <c r="K316" s="1" t="s">
        <v>35</v>
      </c>
      <c r="L316" t="s">
        <v>617</v>
      </c>
      <c r="M316" s="1" t="s">
        <v>45</v>
      </c>
      <c r="N316" s="3">
        <v>46142</v>
      </c>
      <c r="O316" s="1" t="s">
        <v>30</v>
      </c>
      <c r="P316" s="4">
        <v>80000</v>
      </c>
      <c r="Q316" s="5">
        <v>1</v>
      </c>
      <c r="R316" s="1" t="s">
        <v>38</v>
      </c>
      <c r="S316" s="5">
        <v>2936</v>
      </c>
      <c r="T316" s="1" t="s">
        <v>39</v>
      </c>
      <c r="U316" s="4">
        <v>102512.03</v>
      </c>
      <c r="Y316" s="1" t="s">
        <v>227</v>
      </c>
      <c r="Z316" s="3">
        <v>46142</v>
      </c>
      <c r="AA316" s="1" t="s">
        <v>41</v>
      </c>
      <c r="AB316" s="1" t="s">
        <v>42</v>
      </c>
      <c r="AC316" t="b">
        <f t="shared" si="16"/>
        <v>0</v>
      </c>
      <c r="AD316" t="b">
        <f t="shared" si="17"/>
        <v>0</v>
      </c>
      <c r="AE316" t="b">
        <f t="shared" si="18"/>
        <v>0</v>
      </c>
      <c r="AF316" t="b">
        <f t="shared" si="19"/>
        <v>0</v>
      </c>
    </row>
    <row r="317" spans="1:32">
      <c r="A317" t="s">
        <v>1262</v>
      </c>
      <c r="B317" s="1" t="s">
        <v>1263</v>
      </c>
      <c r="C317" s="2">
        <v>46111.848530092597</v>
      </c>
      <c r="D317" s="1" t="s">
        <v>30</v>
      </c>
      <c r="E317" s="1" t="s">
        <v>1264</v>
      </c>
      <c r="F317" s="1" t="s">
        <v>1081</v>
      </c>
      <c r="G317" s="3">
        <v>46113</v>
      </c>
      <c r="H317" s="1" t="s">
        <v>1265</v>
      </c>
      <c r="I317" s="1" t="s">
        <v>63</v>
      </c>
      <c r="J317" s="1" t="s">
        <v>35</v>
      </c>
      <c r="K317" s="1" t="s">
        <v>563</v>
      </c>
      <c r="L317" t="s">
        <v>1081</v>
      </c>
      <c r="N317" s="3">
        <v>46111</v>
      </c>
      <c r="O317" s="1" t="s">
        <v>30</v>
      </c>
      <c r="P317" s="4">
        <v>80000</v>
      </c>
      <c r="Q317" s="5">
        <v>4</v>
      </c>
      <c r="R317" s="1" t="s">
        <v>65</v>
      </c>
      <c r="T317" s="1" t="s">
        <v>39</v>
      </c>
      <c r="U317" s="4">
        <v>99256.03</v>
      </c>
      <c r="V317" s="5">
        <v>8</v>
      </c>
      <c r="W317" s="5">
        <v>50</v>
      </c>
      <c r="Y317" s="1" t="s">
        <v>58</v>
      </c>
      <c r="Z317" s="3">
        <v>46113</v>
      </c>
      <c r="AA317" s="1" t="s">
        <v>41</v>
      </c>
      <c r="AB317" s="1" t="s">
        <v>42</v>
      </c>
      <c r="AC317" t="b">
        <f t="shared" si="16"/>
        <v>0</v>
      </c>
      <c r="AD317" t="b">
        <f t="shared" si="17"/>
        <v>0</v>
      </c>
      <c r="AE317" t="b">
        <f t="shared" si="18"/>
        <v>0</v>
      </c>
      <c r="AF317" t="b">
        <f t="shared" si="19"/>
        <v>0</v>
      </c>
    </row>
    <row r="318" spans="1:32">
      <c r="A318" t="s">
        <v>1266</v>
      </c>
      <c r="B318" s="1" t="s">
        <v>1267</v>
      </c>
      <c r="C318" s="2">
        <v>46072.921898148103</v>
      </c>
      <c r="D318" s="1" t="s">
        <v>30</v>
      </c>
      <c r="E318" s="1" t="s">
        <v>95</v>
      </c>
      <c r="F318" s="1" t="s">
        <v>69</v>
      </c>
      <c r="G318" s="3">
        <v>46081</v>
      </c>
      <c r="H318" s="1" t="s">
        <v>1268</v>
      </c>
      <c r="I318" s="1" t="s">
        <v>382</v>
      </c>
      <c r="J318" s="1" t="s">
        <v>35</v>
      </c>
      <c r="K318" s="1" t="s">
        <v>383</v>
      </c>
      <c r="L318" t="s">
        <v>69</v>
      </c>
      <c r="N318" s="3">
        <v>46072</v>
      </c>
      <c r="O318" s="1" t="s">
        <v>30</v>
      </c>
      <c r="P318" s="4">
        <v>80000</v>
      </c>
      <c r="Q318" s="5">
        <v>280</v>
      </c>
      <c r="R318" s="1" t="s">
        <v>38</v>
      </c>
      <c r="T318" s="1" t="s">
        <v>39</v>
      </c>
      <c r="U318" s="4">
        <v>97087.96</v>
      </c>
      <c r="Y318" s="1" t="s">
        <v>72</v>
      </c>
      <c r="Z318" s="3">
        <v>46081</v>
      </c>
      <c r="AA318" s="1" t="s">
        <v>41</v>
      </c>
      <c r="AB318" s="1" t="s">
        <v>42</v>
      </c>
      <c r="AC318" t="b">
        <f t="shared" si="16"/>
        <v>0</v>
      </c>
      <c r="AD318" t="b">
        <f t="shared" si="17"/>
        <v>0</v>
      </c>
      <c r="AE318" t="b">
        <f t="shared" si="18"/>
        <v>0</v>
      </c>
      <c r="AF318" t="b">
        <f t="shared" si="19"/>
        <v>0</v>
      </c>
    </row>
    <row r="319" spans="1:32">
      <c r="A319" t="s">
        <v>1269</v>
      </c>
      <c r="B319" s="1" t="s">
        <v>1270</v>
      </c>
      <c r="C319" s="2">
        <v>46094.053124999999</v>
      </c>
      <c r="D319" s="1" t="s">
        <v>30</v>
      </c>
      <c r="E319" s="1" t="s">
        <v>1271</v>
      </c>
      <c r="F319" s="1" t="s">
        <v>1059</v>
      </c>
      <c r="G319" s="3">
        <v>46093</v>
      </c>
      <c r="H319" s="1" t="s">
        <v>1272</v>
      </c>
      <c r="I319" s="1" t="s">
        <v>34</v>
      </c>
      <c r="J319" s="1" t="s">
        <v>35</v>
      </c>
      <c r="K319" s="1" t="s">
        <v>78</v>
      </c>
      <c r="L319" t="s">
        <v>1059</v>
      </c>
      <c r="N319" s="3">
        <v>46093</v>
      </c>
      <c r="O319" s="1" t="s">
        <v>30</v>
      </c>
      <c r="P319" s="4">
        <v>80000</v>
      </c>
      <c r="Q319" s="5">
        <v>1</v>
      </c>
      <c r="R319" s="1" t="s">
        <v>38</v>
      </c>
      <c r="S319" s="5">
        <v>600</v>
      </c>
      <c r="T319" s="1" t="s">
        <v>39</v>
      </c>
      <c r="U319" s="4">
        <v>100095.99</v>
      </c>
      <c r="Y319" s="1" t="s">
        <v>58</v>
      </c>
      <c r="Z319" s="3">
        <v>46093</v>
      </c>
      <c r="AA319" s="1" t="s">
        <v>41</v>
      </c>
      <c r="AB319" s="1" t="s">
        <v>42</v>
      </c>
      <c r="AC319" t="b">
        <f t="shared" si="16"/>
        <v>0</v>
      </c>
      <c r="AD319" t="b">
        <f t="shared" si="17"/>
        <v>0</v>
      </c>
      <c r="AE319" t="b">
        <f t="shared" si="18"/>
        <v>0</v>
      </c>
      <c r="AF319" t="b">
        <f t="shared" si="19"/>
        <v>0</v>
      </c>
    </row>
    <row r="320" spans="1:32">
      <c r="A320" t="s">
        <v>1273</v>
      </c>
      <c r="B320" s="1" t="s">
        <v>1274</v>
      </c>
      <c r="C320" s="2">
        <v>46147.972291666701</v>
      </c>
      <c r="D320" s="1" t="s">
        <v>30</v>
      </c>
      <c r="E320" s="1" t="s">
        <v>1195</v>
      </c>
      <c r="F320" s="1" t="s">
        <v>952</v>
      </c>
      <c r="G320" s="3">
        <v>46136</v>
      </c>
      <c r="H320" s="1" t="s">
        <v>1196</v>
      </c>
      <c r="I320" s="1" t="s">
        <v>63</v>
      </c>
      <c r="J320" s="1" t="s">
        <v>103</v>
      </c>
      <c r="K320" s="1" t="s">
        <v>35</v>
      </c>
      <c r="L320" t="s">
        <v>952</v>
      </c>
      <c r="N320" s="3">
        <v>46133</v>
      </c>
      <c r="O320" s="1" t="s">
        <v>30</v>
      </c>
      <c r="P320" s="4">
        <v>80000</v>
      </c>
      <c r="Q320" s="5">
        <v>3</v>
      </c>
      <c r="R320" s="1" t="s">
        <v>38</v>
      </c>
      <c r="T320" s="1" t="s">
        <v>39</v>
      </c>
      <c r="U320" s="4">
        <v>102320</v>
      </c>
      <c r="V320" s="5">
        <v>2</v>
      </c>
      <c r="W320" s="5">
        <v>15</v>
      </c>
      <c r="Y320" s="1" t="s">
        <v>72</v>
      </c>
      <c r="Z320" s="3">
        <v>46136</v>
      </c>
      <c r="AA320" s="1" t="s">
        <v>41</v>
      </c>
      <c r="AB320" s="1" t="s">
        <v>42</v>
      </c>
      <c r="AC320" t="b">
        <f t="shared" si="16"/>
        <v>0</v>
      </c>
      <c r="AD320" t="b">
        <f t="shared" si="17"/>
        <v>0</v>
      </c>
      <c r="AE320" t="b">
        <f t="shared" si="18"/>
        <v>0</v>
      </c>
      <c r="AF320" t="b">
        <f t="shared" si="19"/>
        <v>0</v>
      </c>
    </row>
    <row r="321" spans="1:32">
      <c r="A321" t="s">
        <v>1275</v>
      </c>
      <c r="B321" s="1" t="s">
        <v>1276</v>
      </c>
      <c r="C321" s="2">
        <v>46162.825023148202</v>
      </c>
      <c r="D321" s="1" t="s">
        <v>30</v>
      </c>
      <c r="E321" s="1" t="s">
        <v>1277</v>
      </c>
      <c r="F321" s="1" t="s">
        <v>952</v>
      </c>
      <c r="G321" s="3">
        <v>46184</v>
      </c>
      <c r="H321" s="1" t="s">
        <v>1278</v>
      </c>
      <c r="I321" s="1" t="s">
        <v>63</v>
      </c>
      <c r="J321" s="1" t="s">
        <v>1279</v>
      </c>
      <c r="K321" s="1" t="s">
        <v>35</v>
      </c>
      <c r="L321" t="s">
        <v>952</v>
      </c>
      <c r="N321" s="3">
        <v>46162</v>
      </c>
      <c r="O321" s="1" t="s">
        <v>30</v>
      </c>
      <c r="P321" s="4">
        <v>80000</v>
      </c>
      <c r="Q321" s="5">
        <v>3</v>
      </c>
      <c r="R321" s="1" t="s">
        <v>38</v>
      </c>
      <c r="T321" s="1" t="s">
        <v>39</v>
      </c>
      <c r="U321" s="4">
        <v>102487.99</v>
      </c>
      <c r="V321" s="5">
        <v>6</v>
      </c>
      <c r="W321" s="5">
        <v>0</v>
      </c>
      <c r="Y321" s="1" t="s">
        <v>72</v>
      </c>
      <c r="Z321" s="3">
        <v>46184</v>
      </c>
      <c r="AA321" s="1" t="s">
        <v>41</v>
      </c>
      <c r="AB321" s="1" t="s">
        <v>42</v>
      </c>
      <c r="AC321" t="b">
        <f t="shared" si="16"/>
        <v>0</v>
      </c>
      <c r="AD321" t="b">
        <f t="shared" si="17"/>
        <v>0</v>
      </c>
      <c r="AE321" t="b">
        <f t="shared" si="18"/>
        <v>0</v>
      </c>
      <c r="AF321" t="b">
        <f t="shared" si="19"/>
        <v>0</v>
      </c>
    </row>
    <row r="322" spans="1:32">
      <c r="A322" t="s">
        <v>1280</v>
      </c>
      <c r="B322" s="1" t="s">
        <v>1281</v>
      </c>
      <c r="C322" s="2">
        <v>46162.825011574103</v>
      </c>
      <c r="D322" s="1" t="s">
        <v>30</v>
      </c>
      <c r="E322" s="1" t="s">
        <v>1277</v>
      </c>
      <c r="F322" s="1" t="s">
        <v>952</v>
      </c>
      <c r="G322" s="3">
        <v>46184</v>
      </c>
      <c r="H322" s="1" t="s">
        <v>1278</v>
      </c>
      <c r="I322" s="1" t="s">
        <v>63</v>
      </c>
      <c r="J322" s="1" t="s">
        <v>232</v>
      </c>
      <c r="K322" s="1" t="s">
        <v>35</v>
      </c>
      <c r="L322" t="s">
        <v>952</v>
      </c>
      <c r="N322" s="3">
        <v>46162</v>
      </c>
      <c r="O322" s="1" t="s">
        <v>30</v>
      </c>
      <c r="P322" s="4">
        <v>80000</v>
      </c>
      <c r="Q322" s="5">
        <v>3</v>
      </c>
      <c r="R322" s="1" t="s">
        <v>38</v>
      </c>
      <c r="T322" s="1" t="s">
        <v>39</v>
      </c>
      <c r="U322" s="4">
        <v>102487.99</v>
      </c>
      <c r="V322" s="5">
        <v>6</v>
      </c>
      <c r="W322" s="5">
        <v>0</v>
      </c>
      <c r="Y322" s="1" t="s">
        <v>72</v>
      </c>
      <c r="Z322" s="3">
        <v>46184</v>
      </c>
      <c r="AA322" s="1" t="s">
        <v>41</v>
      </c>
      <c r="AB322" s="1" t="s">
        <v>42</v>
      </c>
      <c r="AC322" t="b">
        <f t="shared" ref="AC322:AC385" si="20">ISNUMBER( SEARCH("HOT",H322))</f>
        <v>0</v>
      </c>
      <c r="AD322" t="b">
        <f t="shared" ref="AD322:AD385" si="21">ISNUMBER( SEARCH("COMM",H322))</f>
        <v>0</v>
      </c>
      <c r="AE322" t="b">
        <f t="shared" ref="AE322:AE385" si="22">ISNUMBER( SEARCH("REEFER",H322))</f>
        <v>0</v>
      </c>
      <c r="AF322" t="b">
        <f t="shared" ref="AF322:AF385" si="23">ISNUMBER( SEARCH("P01",H322))</f>
        <v>0</v>
      </c>
    </row>
    <row r="323" spans="1:32">
      <c r="A323" t="s">
        <v>1282</v>
      </c>
      <c r="B323" s="1" t="s">
        <v>1283</v>
      </c>
      <c r="C323" s="2">
        <v>46125.819016203699</v>
      </c>
      <c r="D323" s="1" t="s">
        <v>30</v>
      </c>
      <c r="E323" s="1" t="s">
        <v>920</v>
      </c>
      <c r="F323" s="1" t="s">
        <v>266</v>
      </c>
      <c r="G323" s="3">
        <v>46125</v>
      </c>
      <c r="H323" s="1" t="s">
        <v>1284</v>
      </c>
      <c r="I323" s="1" t="s">
        <v>34</v>
      </c>
      <c r="J323" s="1" t="s">
        <v>35</v>
      </c>
      <c r="K323" s="1" t="s">
        <v>280</v>
      </c>
      <c r="L323" t="s">
        <v>266</v>
      </c>
      <c r="N323" s="3">
        <v>46125</v>
      </c>
      <c r="O323" s="1" t="s">
        <v>30</v>
      </c>
      <c r="P323" s="4">
        <v>82500</v>
      </c>
      <c r="Q323" s="5">
        <v>5</v>
      </c>
      <c r="R323" s="1" t="s">
        <v>38</v>
      </c>
      <c r="S323" s="5">
        <v>1000</v>
      </c>
      <c r="T323" s="1" t="s">
        <v>39</v>
      </c>
      <c r="U323" s="4">
        <v>104832.78</v>
      </c>
      <c r="Y323" s="1" t="s">
        <v>72</v>
      </c>
      <c r="Z323" s="3">
        <v>46125</v>
      </c>
      <c r="AA323" s="1" t="s">
        <v>41</v>
      </c>
      <c r="AB323" s="1" t="s">
        <v>208</v>
      </c>
      <c r="AC323" t="b">
        <f t="shared" si="20"/>
        <v>0</v>
      </c>
      <c r="AD323" t="b">
        <f t="shared" si="21"/>
        <v>0</v>
      </c>
      <c r="AE323" t="b">
        <f t="shared" si="22"/>
        <v>0</v>
      </c>
      <c r="AF323" t="b">
        <f t="shared" si="23"/>
        <v>0</v>
      </c>
    </row>
    <row r="324" spans="1:32">
      <c r="A324" t="s">
        <v>1285</v>
      </c>
      <c r="B324" s="1" t="s">
        <v>1286</v>
      </c>
      <c r="C324" s="2">
        <v>46170.483900462998</v>
      </c>
      <c r="D324" s="1" t="s">
        <v>30</v>
      </c>
      <c r="E324" s="1" t="s">
        <v>925</v>
      </c>
      <c r="F324" s="1" t="s">
        <v>348</v>
      </c>
      <c r="G324" s="3">
        <v>46170</v>
      </c>
      <c r="H324" s="1" t="s">
        <v>1287</v>
      </c>
      <c r="I324" s="1" t="s">
        <v>34</v>
      </c>
      <c r="J324" s="1" t="s">
        <v>35</v>
      </c>
      <c r="K324" s="1" t="s">
        <v>211</v>
      </c>
      <c r="L324" t="s">
        <v>348</v>
      </c>
      <c r="M324" s="1" t="s">
        <v>37</v>
      </c>
      <c r="N324" s="3">
        <v>46170</v>
      </c>
      <c r="O324" s="1" t="s">
        <v>30</v>
      </c>
      <c r="P324" s="4">
        <v>83000</v>
      </c>
      <c r="Q324" s="5">
        <v>1</v>
      </c>
      <c r="R324" s="1" t="s">
        <v>38</v>
      </c>
      <c r="S324" s="5">
        <v>9000</v>
      </c>
      <c r="T324" s="1" t="s">
        <v>39</v>
      </c>
      <c r="U324" s="4">
        <v>105891.43</v>
      </c>
      <c r="Y324" s="1" t="s">
        <v>227</v>
      </c>
      <c r="Z324" s="3">
        <v>46170</v>
      </c>
      <c r="AA324" s="1" t="s">
        <v>41</v>
      </c>
      <c r="AB324" s="1" t="s">
        <v>42</v>
      </c>
      <c r="AC324" t="b">
        <f t="shared" si="20"/>
        <v>1</v>
      </c>
      <c r="AD324" t="b">
        <f t="shared" si="21"/>
        <v>0</v>
      </c>
      <c r="AE324" t="b">
        <f t="shared" si="22"/>
        <v>0</v>
      </c>
      <c r="AF324" t="b">
        <f t="shared" si="23"/>
        <v>0</v>
      </c>
    </row>
    <row r="325" spans="1:32">
      <c r="A325" t="s">
        <v>1288</v>
      </c>
      <c r="B325" s="1" t="s">
        <v>1289</v>
      </c>
      <c r="C325" s="2">
        <v>46181.718576388899</v>
      </c>
      <c r="D325" s="1" t="s">
        <v>30</v>
      </c>
      <c r="E325" s="1" t="s">
        <v>1290</v>
      </c>
      <c r="F325" s="1" t="s">
        <v>1003</v>
      </c>
      <c r="G325" s="3">
        <v>46219</v>
      </c>
      <c r="H325" s="1" t="s">
        <v>1291</v>
      </c>
      <c r="I325" s="1" t="s">
        <v>63</v>
      </c>
      <c r="J325" s="1" t="s">
        <v>35</v>
      </c>
      <c r="K325" s="1" t="s">
        <v>144</v>
      </c>
      <c r="L325" t="s">
        <v>1003</v>
      </c>
      <c r="M325" s="1" t="s">
        <v>45</v>
      </c>
      <c r="N325" s="3">
        <v>46181</v>
      </c>
      <c r="O325" s="1" t="s">
        <v>30</v>
      </c>
      <c r="P325" s="4">
        <v>83000</v>
      </c>
      <c r="Q325" s="5">
        <v>25</v>
      </c>
      <c r="R325" s="1" t="s">
        <v>38</v>
      </c>
      <c r="T325" s="1" t="s">
        <v>39</v>
      </c>
      <c r="U325" s="4">
        <v>104413.96</v>
      </c>
      <c r="V325" s="5">
        <v>50</v>
      </c>
      <c r="W325" s="5">
        <v>0</v>
      </c>
      <c r="Y325" s="1" t="s">
        <v>227</v>
      </c>
      <c r="Z325" s="3">
        <v>46219</v>
      </c>
      <c r="AA325" s="1" t="s">
        <v>41</v>
      </c>
      <c r="AB325" s="1" t="s">
        <v>42</v>
      </c>
      <c r="AC325" t="b">
        <f t="shared" si="20"/>
        <v>0</v>
      </c>
      <c r="AD325" t="b">
        <f t="shared" si="21"/>
        <v>0</v>
      </c>
      <c r="AE325" t="b">
        <f t="shared" si="22"/>
        <v>1</v>
      </c>
      <c r="AF325" t="b">
        <f t="shared" si="23"/>
        <v>0</v>
      </c>
    </row>
    <row r="326" spans="1:32">
      <c r="A326" t="s">
        <v>1292</v>
      </c>
      <c r="B326" s="1" t="s">
        <v>1293</v>
      </c>
      <c r="C326" s="2">
        <v>46065.486423611103</v>
      </c>
      <c r="D326" s="1" t="s">
        <v>30</v>
      </c>
      <c r="E326" s="1" t="s">
        <v>1294</v>
      </c>
      <c r="F326" s="1" t="s">
        <v>460</v>
      </c>
      <c r="G326" s="3">
        <v>46065</v>
      </c>
      <c r="H326" s="1" t="s">
        <v>1295</v>
      </c>
      <c r="I326" s="1" t="s">
        <v>63</v>
      </c>
      <c r="J326" s="1" t="s">
        <v>324</v>
      </c>
      <c r="K326" s="1" t="s">
        <v>35</v>
      </c>
      <c r="L326" t="s">
        <v>460</v>
      </c>
      <c r="M326" s="1" t="s">
        <v>45</v>
      </c>
      <c r="N326" s="3">
        <v>46065</v>
      </c>
      <c r="O326" s="1" t="s">
        <v>30</v>
      </c>
      <c r="P326" s="4">
        <v>83616</v>
      </c>
      <c r="Q326" s="5">
        <v>3</v>
      </c>
      <c r="R326" s="1" t="s">
        <v>38</v>
      </c>
      <c r="T326" s="1" t="s">
        <v>39</v>
      </c>
      <c r="U326" s="4">
        <v>101267.33</v>
      </c>
      <c r="V326" s="5">
        <v>12</v>
      </c>
      <c r="W326" s="5">
        <v>0</v>
      </c>
      <c r="Y326" s="1" t="s">
        <v>227</v>
      </c>
      <c r="Z326" s="3">
        <v>46065</v>
      </c>
      <c r="AA326" s="1" t="s">
        <v>41</v>
      </c>
      <c r="AB326" s="1" t="s">
        <v>42</v>
      </c>
      <c r="AC326" t="b">
        <f t="shared" si="20"/>
        <v>0</v>
      </c>
      <c r="AD326" t="b">
        <f t="shared" si="21"/>
        <v>0</v>
      </c>
      <c r="AE326" t="b">
        <f t="shared" si="22"/>
        <v>0</v>
      </c>
      <c r="AF326" t="b">
        <f t="shared" si="23"/>
        <v>0</v>
      </c>
    </row>
    <row r="327" spans="1:32">
      <c r="A327" t="s">
        <v>1296</v>
      </c>
      <c r="B327" s="1" t="s">
        <v>1297</v>
      </c>
      <c r="C327" s="2">
        <v>46134.705775463</v>
      </c>
      <c r="D327" s="1" t="s">
        <v>30</v>
      </c>
      <c r="E327" s="1" t="s">
        <v>783</v>
      </c>
      <c r="F327" s="1" t="s">
        <v>524</v>
      </c>
      <c r="G327" s="3">
        <v>46142</v>
      </c>
      <c r="H327" s="1" t="s">
        <v>784</v>
      </c>
      <c r="I327" s="1" t="s">
        <v>63</v>
      </c>
      <c r="J327" s="1" t="s">
        <v>819</v>
      </c>
      <c r="K327" s="1" t="s">
        <v>35</v>
      </c>
      <c r="L327" t="s">
        <v>524</v>
      </c>
      <c r="N327" s="3">
        <v>46134</v>
      </c>
      <c r="O327" s="1" t="s">
        <v>30</v>
      </c>
      <c r="P327" s="4">
        <v>85000</v>
      </c>
      <c r="Q327" s="5">
        <v>103</v>
      </c>
      <c r="R327" s="1" t="s">
        <v>38</v>
      </c>
      <c r="T327" s="1" t="s">
        <v>39</v>
      </c>
      <c r="U327" s="4">
        <v>108919.01</v>
      </c>
      <c r="V327" s="5">
        <v>208</v>
      </c>
      <c r="W327" s="5">
        <v>0</v>
      </c>
      <c r="Y327" s="1" t="s">
        <v>227</v>
      </c>
      <c r="Z327" s="3">
        <v>46142</v>
      </c>
      <c r="AA327" s="1" t="s">
        <v>41</v>
      </c>
      <c r="AB327" s="1" t="s">
        <v>42</v>
      </c>
      <c r="AC327" t="b">
        <f t="shared" si="20"/>
        <v>1</v>
      </c>
      <c r="AD327" t="b">
        <f t="shared" si="21"/>
        <v>0</v>
      </c>
      <c r="AE327" t="b">
        <f t="shared" si="22"/>
        <v>0</v>
      </c>
      <c r="AF327" t="b">
        <f t="shared" si="23"/>
        <v>0</v>
      </c>
    </row>
    <row r="328" spans="1:32">
      <c r="A328" t="s">
        <v>1298</v>
      </c>
      <c r="B328" s="1" t="s">
        <v>1299</v>
      </c>
      <c r="C328" s="2">
        <v>46086.829155092601</v>
      </c>
      <c r="D328" s="1" t="s">
        <v>30</v>
      </c>
      <c r="E328" s="1" t="s">
        <v>1300</v>
      </c>
      <c r="F328" s="1" t="s">
        <v>32</v>
      </c>
      <c r="G328" s="3">
        <v>46079</v>
      </c>
      <c r="H328" s="1" t="s">
        <v>1301</v>
      </c>
      <c r="I328" s="1" t="s">
        <v>63</v>
      </c>
      <c r="J328" s="1" t="s">
        <v>202</v>
      </c>
      <c r="K328" s="1" t="s">
        <v>35</v>
      </c>
      <c r="L328" t="s">
        <v>32</v>
      </c>
      <c r="M328" s="1" t="s">
        <v>45</v>
      </c>
      <c r="N328" s="3">
        <v>46086</v>
      </c>
      <c r="O328" s="1" t="s">
        <v>30</v>
      </c>
      <c r="P328" s="4">
        <v>85000</v>
      </c>
      <c r="Q328" s="5">
        <v>1</v>
      </c>
      <c r="R328" s="1" t="s">
        <v>38</v>
      </c>
      <c r="T328" s="1" t="s">
        <v>39</v>
      </c>
      <c r="U328" s="4">
        <v>104210.03</v>
      </c>
      <c r="V328" s="5">
        <v>5</v>
      </c>
      <c r="W328" s="5">
        <v>0</v>
      </c>
      <c r="Y328" s="1" t="s">
        <v>40</v>
      </c>
      <c r="Z328" s="3">
        <v>46079</v>
      </c>
      <c r="AA328" s="1" t="s">
        <v>41</v>
      </c>
      <c r="AB328" s="1" t="s">
        <v>42</v>
      </c>
      <c r="AC328" t="b">
        <f t="shared" si="20"/>
        <v>1</v>
      </c>
      <c r="AD328" t="b">
        <f t="shared" si="21"/>
        <v>0</v>
      </c>
      <c r="AE328" t="b">
        <f t="shared" si="22"/>
        <v>0</v>
      </c>
      <c r="AF328" t="b">
        <f t="shared" si="23"/>
        <v>0</v>
      </c>
    </row>
    <row r="329" spans="1:32">
      <c r="A329" t="s">
        <v>1302</v>
      </c>
      <c r="B329" s="1" t="s">
        <v>1303</v>
      </c>
      <c r="C329" s="2">
        <v>46127.859085648102</v>
      </c>
      <c r="D329" s="1" t="s">
        <v>30</v>
      </c>
      <c r="E329" s="1" t="s">
        <v>1089</v>
      </c>
      <c r="F329" s="1" t="s">
        <v>1081</v>
      </c>
      <c r="G329" s="3">
        <v>46128</v>
      </c>
      <c r="H329" s="1" t="s">
        <v>1304</v>
      </c>
      <c r="I329" s="1" t="s">
        <v>63</v>
      </c>
      <c r="J329" s="1" t="s">
        <v>35</v>
      </c>
      <c r="K329" s="1" t="s">
        <v>136</v>
      </c>
      <c r="L329" t="s">
        <v>1081</v>
      </c>
      <c r="N329" s="3">
        <v>46127</v>
      </c>
      <c r="O329" s="1" t="s">
        <v>30</v>
      </c>
      <c r="P329" s="4">
        <v>85000</v>
      </c>
      <c r="Q329" s="5">
        <v>5</v>
      </c>
      <c r="R329" s="1" t="s">
        <v>38</v>
      </c>
      <c r="T329" s="1" t="s">
        <v>39</v>
      </c>
      <c r="U329" s="4">
        <v>107915.97</v>
      </c>
      <c r="V329" s="5">
        <v>10</v>
      </c>
      <c r="W329" s="5">
        <v>0</v>
      </c>
      <c r="Y329" s="1" t="s">
        <v>58</v>
      </c>
      <c r="Z329" s="3">
        <v>46128</v>
      </c>
      <c r="AA329" s="1" t="s">
        <v>41</v>
      </c>
      <c r="AB329" s="1" t="s">
        <v>208</v>
      </c>
      <c r="AC329" t="b">
        <f t="shared" si="20"/>
        <v>0</v>
      </c>
      <c r="AD329" t="b">
        <f t="shared" si="21"/>
        <v>0</v>
      </c>
      <c r="AE329" t="b">
        <f t="shared" si="22"/>
        <v>0</v>
      </c>
      <c r="AF329" t="b">
        <f t="shared" si="23"/>
        <v>0</v>
      </c>
    </row>
    <row r="330" spans="1:32">
      <c r="A330" t="s">
        <v>1305</v>
      </c>
      <c r="B330" s="1" t="s">
        <v>1306</v>
      </c>
      <c r="C330" s="2">
        <v>46178.836643518502</v>
      </c>
      <c r="D330" s="1" t="s">
        <v>30</v>
      </c>
      <c r="E330" s="1" t="s">
        <v>1307</v>
      </c>
      <c r="F330" s="1" t="s">
        <v>1308</v>
      </c>
      <c r="G330" s="3">
        <v>46178</v>
      </c>
      <c r="H330" s="1" t="s">
        <v>1309</v>
      </c>
      <c r="I330" s="1" t="s">
        <v>63</v>
      </c>
      <c r="J330" s="1" t="s">
        <v>563</v>
      </c>
      <c r="K330" s="1" t="s">
        <v>35</v>
      </c>
      <c r="L330" t="s">
        <v>1308</v>
      </c>
      <c r="N330" s="3">
        <v>46178</v>
      </c>
      <c r="O330" s="1" t="s">
        <v>30</v>
      </c>
      <c r="P330" s="4">
        <v>88000</v>
      </c>
      <c r="Q330" s="5">
        <v>2</v>
      </c>
      <c r="R330" s="1" t="s">
        <v>38</v>
      </c>
      <c r="T330" s="1" t="s">
        <v>39</v>
      </c>
      <c r="U330" s="4">
        <v>111522.39</v>
      </c>
      <c r="V330" s="5">
        <v>4</v>
      </c>
      <c r="W330" s="5">
        <v>0</v>
      </c>
      <c r="Y330" s="1" t="s">
        <v>58</v>
      </c>
      <c r="Z330" s="3">
        <v>46178</v>
      </c>
      <c r="AA330" s="1" t="s">
        <v>41</v>
      </c>
      <c r="AB330" s="1" t="s">
        <v>42</v>
      </c>
      <c r="AC330" t="b">
        <f t="shared" si="20"/>
        <v>0</v>
      </c>
      <c r="AD330" t="b">
        <f t="shared" si="21"/>
        <v>0</v>
      </c>
      <c r="AE330" t="b">
        <f t="shared" si="22"/>
        <v>0</v>
      </c>
      <c r="AF330" t="b">
        <f t="shared" si="23"/>
        <v>0</v>
      </c>
    </row>
    <row r="331" spans="1:32">
      <c r="A331" t="s">
        <v>1310</v>
      </c>
      <c r="B331" s="1" t="s">
        <v>1311</v>
      </c>
      <c r="C331" s="2">
        <v>46168.877361111103</v>
      </c>
      <c r="D331" s="1" t="s">
        <v>30</v>
      </c>
      <c r="E331" s="1" t="s">
        <v>1312</v>
      </c>
      <c r="F331" s="1" t="s">
        <v>952</v>
      </c>
      <c r="G331" s="3">
        <v>46211</v>
      </c>
      <c r="H331" s="1" t="s">
        <v>1313</v>
      </c>
      <c r="I331" s="1" t="s">
        <v>63</v>
      </c>
      <c r="J331" s="1" t="s">
        <v>64</v>
      </c>
      <c r="K331" s="1" t="s">
        <v>35</v>
      </c>
      <c r="L331" t="s">
        <v>952</v>
      </c>
      <c r="N331" s="3">
        <v>46168</v>
      </c>
      <c r="O331" s="1" t="s">
        <v>30</v>
      </c>
      <c r="P331" s="4">
        <v>90000</v>
      </c>
      <c r="Q331" s="5">
        <v>2</v>
      </c>
      <c r="R331" s="1" t="s">
        <v>38</v>
      </c>
      <c r="T331" s="1" t="s">
        <v>39</v>
      </c>
      <c r="U331" s="4">
        <v>115622.98</v>
      </c>
      <c r="V331" s="5">
        <v>3</v>
      </c>
      <c r="W331" s="5">
        <v>0</v>
      </c>
      <c r="Y331" s="1" t="s">
        <v>72</v>
      </c>
      <c r="Z331" s="3">
        <v>46211</v>
      </c>
      <c r="AA331" s="1" t="s">
        <v>41</v>
      </c>
      <c r="AB331" s="1" t="s">
        <v>42</v>
      </c>
      <c r="AC331" t="b">
        <f t="shared" si="20"/>
        <v>0</v>
      </c>
      <c r="AD331" t="b">
        <f t="shared" si="21"/>
        <v>0</v>
      </c>
      <c r="AE331" t="b">
        <f t="shared" si="22"/>
        <v>0</v>
      </c>
      <c r="AF331" t="b">
        <f t="shared" si="23"/>
        <v>0</v>
      </c>
    </row>
    <row r="332" spans="1:32">
      <c r="A332" t="s">
        <v>1314</v>
      </c>
      <c r="B332" s="1" t="s">
        <v>1315</v>
      </c>
      <c r="C332" s="2">
        <v>46153.713541666701</v>
      </c>
      <c r="D332" s="1" t="s">
        <v>30</v>
      </c>
      <c r="E332" s="1" t="s">
        <v>1316</v>
      </c>
      <c r="F332" s="1" t="s">
        <v>1317</v>
      </c>
      <c r="G332" s="3">
        <v>46154</v>
      </c>
      <c r="H332" s="1" t="s">
        <v>1318</v>
      </c>
      <c r="I332" s="1" t="s">
        <v>34</v>
      </c>
      <c r="J332" s="1" t="s">
        <v>91</v>
      </c>
      <c r="K332" s="1" t="s">
        <v>35</v>
      </c>
      <c r="L332" t="s">
        <v>1317</v>
      </c>
      <c r="M332" s="1" t="s">
        <v>45</v>
      </c>
      <c r="N332" s="3">
        <v>46153</v>
      </c>
      <c r="O332" s="1" t="s">
        <v>30</v>
      </c>
      <c r="P332" s="4">
        <v>90000</v>
      </c>
      <c r="Q332" s="5">
        <v>10</v>
      </c>
      <c r="R332" s="1" t="s">
        <v>65</v>
      </c>
      <c r="S332" s="5">
        <v>2000</v>
      </c>
      <c r="T332" s="1" t="s">
        <v>39</v>
      </c>
      <c r="U332" s="4">
        <v>116649.01</v>
      </c>
      <c r="Y332" s="1" t="s">
        <v>961</v>
      </c>
      <c r="Z332" s="3">
        <v>46154</v>
      </c>
      <c r="AA332" s="1" t="s">
        <v>41</v>
      </c>
      <c r="AB332" s="1" t="s">
        <v>42</v>
      </c>
      <c r="AC332" t="b">
        <f t="shared" si="20"/>
        <v>0</v>
      </c>
      <c r="AD332" t="b">
        <f t="shared" si="21"/>
        <v>0</v>
      </c>
      <c r="AE332" t="b">
        <f t="shared" si="22"/>
        <v>0</v>
      </c>
      <c r="AF332" t="b">
        <f t="shared" si="23"/>
        <v>0</v>
      </c>
    </row>
    <row r="333" spans="1:32">
      <c r="A333" t="s">
        <v>1319</v>
      </c>
      <c r="B333" s="1" t="s">
        <v>1320</v>
      </c>
      <c r="C333" s="2">
        <v>46157.878460648099</v>
      </c>
      <c r="D333" s="1" t="s">
        <v>30</v>
      </c>
      <c r="E333" s="1" t="s">
        <v>1321</v>
      </c>
      <c r="F333" s="1" t="s">
        <v>952</v>
      </c>
      <c r="G333" s="3">
        <v>46218</v>
      </c>
      <c r="H333" s="1" t="s">
        <v>1322</v>
      </c>
      <c r="I333" s="1" t="s">
        <v>34</v>
      </c>
      <c r="J333" s="1" t="s">
        <v>232</v>
      </c>
      <c r="K333" s="1" t="s">
        <v>35</v>
      </c>
      <c r="L333" t="s">
        <v>952</v>
      </c>
      <c r="N333" s="3">
        <v>46157</v>
      </c>
      <c r="O333" s="1" t="s">
        <v>30</v>
      </c>
      <c r="P333" s="4">
        <v>90000</v>
      </c>
      <c r="Q333" s="5">
        <v>8</v>
      </c>
      <c r="R333" s="1" t="s">
        <v>38</v>
      </c>
      <c r="S333" s="5">
        <v>2000</v>
      </c>
      <c r="T333" s="1" t="s">
        <v>39</v>
      </c>
      <c r="U333" s="4">
        <v>117279.03999999999</v>
      </c>
      <c r="Y333" s="1" t="s">
        <v>72</v>
      </c>
      <c r="Z333" s="3">
        <v>46218</v>
      </c>
      <c r="AA333" s="1" t="s">
        <v>41</v>
      </c>
      <c r="AB333" s="1" t="s">
        <v>42</v>
      </c>
      <c r="AC333" t="b">
        <f t="shared" si="20"/>
        <v>0</v>
      </c>
      <c r="AD333" t="b">
        <f t="shared" si="21"/>
        <v>0</v>
      </c>
      <c r="AE333" t="b">
        <f t="shared" si="22"/>
        <v>0</v>
      </c>
      <c r="AF333" t="b">
        <f t="shared" si="23"/>
        <v>0</v>
      </c>
    </row>
    <row r="334" spans="1:32">
      <c r="A334" t="s">
        <v>1323</v>
      </c>
      <c r="B334" s="1" t="s">
        <v>1324</v>
      </c>
      <c r="C334" s="2">
        <v>46114.571828703702</v>
      </c>
      <c r="D334" s="1" t="s">
        <v>30</v>
      </c>
      <c r="E334" s="1" t="s">
        <v>920</v>
      </c>
      <c r="F334" s="1" t="s">
        <v>266</v>
      </c>
      <c r="G334" s="3">
        <v>46114</v>
      </c>
      <c r="H334" s="1" t="s">
        <v>1325</v>
      </c>
      <c r="I334" s="1" t="s">
        <v>63</v>
      </c>
      <c r="J334" s="1" t="s">
        <v>35</v>
      </c>
      <c r="K334" s="1" t="s">
        <v>244</v>
      </c>
      <c r="L334" t="s">
        <v>266</v>
      </c>
      <c r="N334" s="3">
        <v>46114</v>
      </c>
      <c r="O334" s="1" t="s">
        <v>30</v>
      </c>
      <c r="P334" s="4">
        <v>90000</v>
      </c>
      <c r="Q334" s="5">
        <v>6</v>
      </c>
      <c r="R334" s="1" t="s">
        <v>38</v>
      </c>
      <c r="T334" s="1" t="s">
        <v>39</v>
      </c>
      <c r="U334" s="4">
        <v>112212.03</v>
      </c>
      <c r="V334" s="5">
        <v>0</v>
      </c>
      <c r="W334" s="5">
        <v>6</v>
      </c>
      <c r="Y334" s="1" t="s">
        <v>72</v>
      </c>
      <c r="Z334" s="3">
        <v>46114</v>
      </c>
      <c r="AA334" s="1" t="s">
        <v>41</v>
      </c>
      <c r="AB334" s="1" t="s">
        <v>42</v>
      </c>
      <c r="AC334" t="b">
        <f t="shared" si="20"/>
        <v>0</v>
      </c>
      <c r="AD334" t="b">
        <f t="shared" si="21"/>
        <v>0</v>
      </c>
      <c r="AE334" t="b">
        <f t="shared" si="22"/>
        <v>0</v>
      </c>
      <c r="AF334" t="b">
        <f t="shared" si="23"/>
        <v>0</v>
      </c>
    </row>
    <row r="335" spans="1:32">
      <c r="A335" t="s">
        <v>1326</v>
      </c>
      <c r="B335" s="1" t="s">
        <v>1327</v>
      </c>
      <c r="C335" s="2">
        <v>46099.721388888902</v>
      </c>
      <c r="D335" s="1" t="s">
        <v>30</v>
      </c>
      <c r="E335" s="1" t="s">
        <v>1328</v>
      </c>
      <c r="F335" s="1" t="s">
        <v>652</v>
      </c>
      <c r="G335" s="3">
        <v>46099</v>
      </c>
      <c r="H335" s="1" t="s">
        <v>1329</v>
      </c>
      <c r="I335" s="1" t="s">
        <v>34</v>
      </c>
      <c r="J335" s="1" t="s">
        <v>35</v>
      </c>
      <c r="K335" s="1" t="s">
        <v>1330</v>
      </c>
      <c r="L335" t="s">
        <v>652</v>
      </c>
      <c r="M335" s="1" t="s">
        <v>45</v>
      </c>
      <c r="N335" s="3">
        <v>46099</v>
      </c>
      <c r="O335" s="1" t="s">
        <v>30</v>
      </c>
      <c r="P335" s="4">
        <v>90200</v>
      </c>
      <c r="Q335" s="5">
        <v>5</v>
      </c>
      <c r="R335" s="1" t="s">
        <v>38</v>
      </c>
      <c r="S335" s="5">
        <v>1800</v>
      </c>
      <c r="T335" s="1" t="s">
        <v>39</v>
      </c>
      <c r="U335" s="4">
        <v>112019.36</v>
      </c>
      <c r="Y335" s="1" t="s">
        <v>58</v>
      </c>
      <c r="Z335" s="3">
        <v>46099</v>
      </c>
      <c r="AA335" s="1" t="s">
        <v>41</v>
      </c>
      <c r="AB335" s="1" t="s">
        <v>42</v>
      </c>
      <c r="AC335" t="b">
        <f t="shared" si="20"/>
        <v>0</v>
      </c>
      <c r="AD335" t="b">
        <f t="shared" si="21"/>
        <v>0</v>
      </c>
      <c r="AE335" t="b">
        <f t="shared" si="22"/>
        <v>0</v>
      </c>
      <c r="AF335" t="b">
        <f t="shared" si="23"/>
        <v>0</v>
      </c>
    </row>
    <row r="336" spans="1:32">
      <c r="A336" t="s">
        <v>1331</v>
      </c>
      <c r="B336" s="1" t="s">
        <v>1332</v>
      </c>
      <c r="C336" s="2">
        <v>46146.483101851903</v>
      </c>
      <c r="D336" s="1" t="s">
        <v>30</v>
      </c>
      <c r="E336" s="1" t="s">
        <v>882</v>
      </c>
      <c r="F336" s="1" t="s">
        <v>883</v>
      </c>
      <c r="G336" s="3">
        <v>46147</v>
      </c>
      <c r="H336" s="1" t="s">
        <v>1333</v>
      </c>
      <c r="I336" s="1" t="s">
        <v>63</v>
      </c>
      <c r="J336" s="1" t="s">
        <v>567</v>
      </c>
      <c r="K336" s="1" t="s">
        <v>35</v>
      </c>
      <c r="L336" t="s">
        <v>883</v>
      </c>
      <c r="M336" s="1" t="s">
        <v>45</v>
      </c>
      <c r="N336" s="3">
        <v>46146</v>
      </c>
      <c r="O336" s="1" t="s">
        <v>30</v>
      </c>
      <c r="P336" s="4">
        <v>92056</v>
      </c>
      <c r="Q336" s="5">
        <v>30</v>
      </c>
      <c r="R336" s="1" t="s">
        <v>65</v>
      </c>
      <c r="T336" s="1" t="s">
        <v>39</v>
      </c>
      <c r="U336" s="4">
        <v>118135.45</v>
      </c>
      <c r="V336" s="5">
        <v>0</v>
      </c>
      <c r="W336" s="5">
        <v>125</v>
      </c>
      <c r="Y336" s="1" t="s">
        <v>72</v>
      </c>
      <c r="Z336" s="3">
        <v>46147</v>
      </c>
      <c r="AA336" s="1" t="s">
        <v>41</v>
      </c>
      <c r="AB336" s="1" t="s">
        <v>42</v>
      </c>
      <c r="AC336" t="b">
        <f t="shared" si="20"/>
        <v>0</v>
      </c>
      <c r="AD336" t="b">
        <f t="shared" si="21"/>
        <v>0</v>
      </c>
      <c r="AE336" t="b">
        <f t="shared" si="22"/>
        <v>0</v>
      </c>
      <c r="AF336" t="b">
        <f t="shared" si="23"/>
        <v>0</v>
      </c>
    </row>
    <row r="337" spans="1:32">
      <c r="A337" t="s">
        <v>1334</v>
      </c>
      <c r="B337" s="1" t="s">
        <v>1335</v>
      </c>
      <c r="C337" s="2">
        <v>46154.878182870401</v>
      </c>
      <c r="D337" s="1" t="s">
        <v>30</v>
      </c>
      <c r="E337" s="1" t="s">
        <v>1240</v>
      </c>
      <c r="F337" s="1" t="s">
        <v>328</v>
      </c>
      <c r="G337" s="3">
        <v>46180</v>
      </c>
      <c r="H337" s="1" t="s">
        <v>1336</v>
      </c>
      <c r="I337" s="1" t="s">
        <v>63</v>
      </c>
      <c r="J337" s="1" t="s">
        <v>35</v>
      </c>
      <c r="K337" s="1" t="s">
        <v>57</v>
      </c>
      <c r="L337" t="s">
        <v>328</v>
      </c>
      <c r="M337" s="1" t="s">
        <v>37</v>
      </c>
      <c r="N337" s="3">
        <v>46154</v>
      </c>
      <c r="O337" s="1" t="s">
        <v>30</v>
      </c>
      <c r="P337" s="4">
        <v>94080</v>
      </c>
      <c r="Q337" s="5">
        <v>12</v>
      </c>
      <c r="R337" s="1" t="s">
        <v>38</v>
      </c>
      <c r="T337" s="1" t="s">
        <v>39</v>
      </c>
      <c r="U337" s="4">
        <v>122134.62</v>
      </c>
      <c r="V337" s="5">
        <v>24</v>
      </c>
      <c r="W337" s="5">
        <v>0</v>
      </c>
      <c r="Y337" s="1" t="s">
        <v>72</v>
      </c>
      <c r="Z337" s="3">
        <v>46180</v>
      </c>
      <c r="AA337" s="1" t="s">
        <v>41</v>
      </c>
      <c r="AB337" s="1" t="s">
        <v>42</v>
      </c>
      <c r="AC337" t="b">
        <f t="shared" si="20"/>
        <v>0</v>
      </c>
      <c r="AD337" t="b">
        <f t="shared" si="21"/>
        <v>0</v>
      </c>
      <c r="AE337" t="b">
        <f t="shared" si="22"/>
        <v>0</v>
      </c>
      <c r="AF337" t="b">
        <f t="shared" si="23"/>
        <v>0</v>
      </c>
    </row>
    <row r="338" spans="1:32">
      <c r="A338" t="s">
        <v>1337</v>
      </c>
      <c r="B338" s="1" t="s">
        <v>1338</v>
      </c>
      <c r="C338" s="2">
        <v>46170.723518518498</v>
      </c>
      <c r="D338" s="1" t="s">
        <v>30</v>
      </c>
      <c r="E338" s="1" t="s">
        <v>1339</v>
      </c>
      <c r="F338" s="1" t="s">
        <v>1081</v>
      </c>
      <c r="G338" s="3">
        <v>46170</v>
      </c>
      <c r="H338" s="1" t="s">
        <v>1340</v>
      </c>
      <c r="I338" s="1" t="s">
        <v>34</v>
      </c>
      <c r="J338" s="1" t="s">
        <v>244</v>
      </c>
      <c r="K338" s="1" t="s">
        <v>35</v>
      </c>
      <c r="L338" t="s">
        <v>1081</v>
      </c>
      <c r="N338" s="3">
        <v>46170</v>
      </c>
      <c r="O338" s="1" t="s">
        <v>30</v>
      </c>
      <c r="P338" s="4">
        <v>95000</v>
      </c>
      <c r="Q338" s="5">
        <v>5</v>
      </c>
      <c r="R338" s="1" t="s">
        <v>65</v>
      </c>
      <c r="S338" s="5">
        <v>5000</v>
      </c>
      <c r="T338" s="1" t="s">
        <v>39</v>
      </c>
      <c r="U338" s="4">
        <v>120507.47</v>
      </c>
      <c r="Y338" s="1" t="s">
        <v>58</v>
      </c>
      <c r="Z338" s="3">
        <v>46170</v>
      </c>
      <c r="AA338" s="1" t="s">
        <v>41</v>
      </c>
      <c r="AB338" s="1" t="s">
        <v>42</v>
      </c>
      <c r="AC338" t="b">
        <f t="shared" si="20"/>
        <v>0</v>
      </c>
      <c r="AD338" t="b">
        <f t="shared" si="21"/>
        <v>0</v>
      </c>
      <c r="AE338" t="b">
        <f t="shared" si="22"/>
        <v>0</v>
      </c>
      <c r="AF338" t="b">
        <f t="shared" si="23"/>
        <v>0</v>
      </c>
    </row>
    <row r="339" spans="1:32">
      <c r="A339" t="s">
        <v>1341</v>
      </c>
      <c r="B339" s="1" t="s">
        <v>1342</v>
      </c>
      <c r="C339" s="2">
        <v>46107.554652777799</v>
      </c>
      <c r="D339" s="1" t="s">
        <v>30</v>
      </c>
      <c r="E339" s="1" t="s">
        <v>1312</v>
      </c>
      <c r="F339" s="1" t="s">
        <v>952</v>
      </c>
      <c r="G339" s="3">
        <v>46107</v>
      </c>
      <c r="H339" s="1" t="s">
        <v>1343</v>
      </c>
      <c r="I339" s="1" t="s">
        <v>63</v>
      </c>
      <c r="J339" s="1" t="s">
        <v>35</v>
      </c>
      <c r="K339" s="1" t="s">
        <v>136</v>
      </c>
      <c r="L339" t="s">
        <v>952</v>
      </c>
      <c r="N339" s="3">
        <v>46107</v>
      </c>
      <c r="O339" s="1" t="s">
        <v>30</v>
      </c>
      <c r="P339" s="4">
        <v>95000</v>
      </c>
      <c r="Q339" s="5">
        <v>8</v>
      </c>
      <c r="R339" s="1" t="s">
        <v>38</v>
      </c>
      <c r="T339" s="1" t="s">
        <v>39</v>
      </c>
      <c r="U339" s="4">
        <v>117049.46</v>
      </c>
      <c r="V339" s="5">
        <v>22</v>
      </c>
      <c r="W339" s="5">
        <v>0</v>
      </c>
      <c r="Y339" s="1" t="s">
        <v>72</v>
      </c>
      <c r="Z339" s="3">
        <v>46107</v>
      </c>
      <c r="AA339" s="1" t="s">
        <v>41</v>
      </c>
      <c r="AB339" s="1" t="s">
        <v>42</v>
      </c>
      <c r="AC339" t="b">
        <f t="shared" si="20"/>
        <v>1</v>
      </c>
      <c r="AD339" t="b">
        <f t="shared" si="21"/>
        <v>0</v>
      </c>
      <c r="AE339" t="b">
        <f t="shared" si="22"/>
        <v>0</v>
      </c>
      <c r="AF339" t="b">
        <f t="shared" si="23"/>
        <v>0</v>
      </c>
    </row>
    <row r="340" spans="1:32">
      <c r="A340" t="s">
        <v>1344</v>
      </c>
      <c r="B340" s="1" t="s">
        <v>1345</v>
      </c>
      <c r="C340" s="2">
        <v>46176.505312499998</v>
      </c>
      <c r="D340" s="1" t="s">
        <v>30</v>
      </c>
      <c r="E340" s="1" t="s">
        <v>1346</v>
      </c>
      <c r="F340" s="1" t="s">
        <v>533</v>
      </c>
      <c r="H340" s="1" t="s">
        <v>1347</v>
      </c>
      <c r="I340" s="1" t="s">
        <v>34</v>
      </c>
      <c r="J340" s="1" t="s">
        <v>35</v>
      </c>
      <c r="K340" s="1" t="s">
        <v>114</v>
      </c>
      <c r="L340" t="s">
        <v>443</v>
      </c>
      <c r="O340" s="1" t="s">
        <v>30</v>
      </c>
      <c r="P340" s="4">
        <v>95000</v>
      </c>
      <c r="Q340" s="5">
        <v>15</v>
      </c>
      <c r="S340" s="5">
        <v>1000</v>
      </c>
      <c r="T340" s="1" t="s">
        <v>39</v>
      </c>
      <c r="U340" s="4">
        <v>121561.97</v>
      </c>
      <c r="Z340" s="3">
        <v>46203</v>
      </c>
      <c r="AA340" s="1" t="s">
        <v>237</v>
      </c>
      <c r="AB340" s="1" t="s">
        <v>238</v>
      </c>
      <c r="AC340" t="b">
        <f t="shared" si="20"/>
        <v>0</v>
      </c>
      <c r="AD340" t="b">
        <f t="shared" si="21"/>
        <v>0</v>
      </c>
      <c r="AE340" t="b">
        <f t="shared" si="22"/>
        <v>0</v>
      </c>
      <c r="AF340" t="b">
        <f t="shared" si="23"/>
        <v>0</v>
      </c>
    </row>
    <row r="341" spans="1:32">
      <c r="A341" t="s">
        <v>1348</v>
      </c>
      <c r="B341" s="1" t="s">
        <v>1349</v>
      </c>
      <c r="C341" s="2">
        <v>46029.809837963003</v>
      </c>
      <c r="D341" s="1" t="s">
        <v>30</v>
      </c>
      <c r="E341" s="1" t="s">
        <v>68</v>
      </c>
      <c r="F341" s="1" t="s">
        <v>69</v>
      </c>
      <c r="G341" s="3">
        <v>46029</v>
      </c>
      <c r="H341" s="1" t="s">
        <v>70</v>
      </c>
      <c r="I341" s="1" t="s">
        <v>63</v>
      </c>
      <c r="J341" s="1" t="s">
        <v>966</v>
      </c>
      <c r="K341" s="1" t="s">
        <v>35</v>
      </c>
      <c r="L341" t="s">
        <v>69</v>
      </c>
      <c r="N341" s="3">
        <v>46029</v>
      </c>
      <c r="O341" s="1" t="s">
        <v>30</v>
      </c>
      <c r="P341" s="4">
        <v>96000</v>
      </c>
      <c r="Q341" s="5">
        <v>96</v>
      </c>
      <c r="R341" s="1" t="s">
        <v>38</v>
      </c>
      <c r="T341" s="1" t="s">
        <v>39</v>
      </c>
      <c r="U341" s="4">
        <v>113990.43</v>
      </c>
      <c r="V341" s="5">
        <v>0</v>
      </c>
      <c r="W341" s="5">
        <v>63</v>
      </c>
      <c r="Y341" s="1" t="s">
        <v>72</v>
      </c>
      <c r="Z341" s="3">
        <v>46029</v>
      </c>
      <c r="AA341" s="1" t="s">
        <v>41</v>
      </c>
      <c r="AB341" s="1" t="s">
        <v>42</v>
      </c>
      <c r="AC341" t="b">
        <f t="shared" si="20"/>
        <v>0</v>
      </c>
      <c r="AD341" t="b">
        <f t="shared" si="21"/>
        <v>0</v>
      </c>
      <c r="AE341" t="b">
        <f t="shared" si="22"/>
        <v>0</v>
      </c>
      <c r="AF341" t="b">
        <f t="shared" si="23"/>
        <v>0</v>
      </c>
    </row>
    <row r="342" spans="1:32">
      <c r="A342" t="s">
        <v>1350</v>
      </c>
      <c r="B342" s="1" t="s">
        <v>1351</v>
      </c>
      <c r="C342" s="2">
        <v>46160.997442129599</v>
      </c>
      <c r="D342" s="1" t="s">
        <v>30</v>
      </c>
      <c r="E342" s="1" t="s">
        <v>1352</v>
      </c>
      <c r="F342" s="1" t="s">
        <v>870</v>
      </c>
      <c r="G342" s="3">
        <v>46160</v>
      </c>
      <c r="H342" s="1" t="s">
        <v>1353</v>
      </c>
      <c r="I342" s="1" t="s">
        <v>63</v>
      </c>
      <c r="J342" s="1" t="s">
        <v>64</v>
      </c>
      <c r="K342" s="1" t="s">
        <v>35</v>
      </c>
      <c r="L342" t="s">
        <v>870</v>
      </c>
      <c r="N342" s="3">
        <v>46160</v>
      </c>
      <c r="O342" s="1" t="s">
        <v>30</v>
      </c>
      <c r="P342" s="4">
        <v>96588</v>
      </c>
      <c r="Q342" s="5">
        <v>1</v>
      </c>
      <c r="R342" s="1" t="s">
        <v>38</v>
      </c>
      <c r="T342" s="1" t="s">
        <v>39</v>
      </c>
      <c r="U342" s="4">
        <v>122966.22</v>
      </c>
      <c r="V342" s="5">
        <v>4</v>
      </c>
      <c r="W342" s="5">
        <v>0</v>
      </c>
      <c r="Y342" s="1" t="s">
        <v>58</v>
      </c>
      <c r="Z342" s="3">
        <v>46160</v>
      </c>
      <c r="AA342" s="1" t="s">
        <v>41</v>
      </c>
      <c r="AB342" s="1" t="s">
        <v>42</v>
      </c>
      <c r="AC342" t="b">
        <f t="shared" si="20"/>
        <v>0</v>
      </c>
      <c r="AD342" t="b">
        <f t="shared" si="21"/>
        <v>0</v>
      </c>
      <c r="AE342" t="b">
        <f t="shared" si="22"/>
        <v>0</v>
      </c>
      <c r="AF342" t="b">
        <f t="shared" si="23"/>
        <v>0</v>
      </c>
    </row>
    <row r="343" spans="1:32">
      <c r="A343" t="s">
        <v>1354</v>
      </c>
      <c r="B343" s="1" t="s">
        <v>1355</v>
      </c>
      <c r="C343" s="2">
        <v>46170.119525463</v>
      </c>
      <c r="D343" s="1" t="s">
        <v>30</v>
      </c>
      <c r="E343" s="1" t="s">
        <v>1356</v>
      </c>
      <c r="F343" s="1" t="s">
        <v>883</v>
      </c>
      <c r="G343" s="3">
        <v>46167</v>
      </c>
      <c r="H343" s="1" t="s">
        <v>1357</v>
      </c>
      <c r="I343" s="1" t="s">
        <v>63</v>
      </c>
      <c r="J343" s="1" t="s">
        <v>35</v>
      </c>
      <c r="K343" s="1" t="s">
        <v>819</v>
      </c>
      <c r="L343" t="s">
        <v>883</v>
      </c>
      <c r="M343" s="1" t="s">
        <v>37</v>
      </c>
      <c r="N343" s="3">
        <v>46167</v>
      </c>
      <c r="O343" s="1" t="s">
        <v>30</v>
      </c>
      <c r="P343" s="4">
        <v>97674</v>
      </c>
      <c r="Q343" s="5">
        <v>1</v>
      </c>
      <c r="R343" s="1" t="s">
        <v>38</v>
      </c>
      <c r="T343" s="1" t="s">
        <v>39</v>
      </c>
      <c r="U343" s="4">
        <v>125618.5</v>
      </c>
      <c r="V343" s="5">
        <v>4</v>
      </c>
      <c r="W343" s="5">
        <v>0</v>
      </c>
      <c r="Y343" s="1" t="s">
        <v>72</v>
      </c>
      <c r="Z343" s="3">
        <v>46167</v>
      </c>
      <c r="AA343" s="1" t="s">
        <v>41</v>
      </c>
      <c r="AB343" s="1" t="s">
        <v>42</v>
      </c>
      <c r="AC343" t="b">
        <f t="shared" si="20"/>
        <v>0</v>
      </c>
      <c r="AD343" t="b">
        <f t="shared" si="21"/>
        <v>0</v>
      </c>
      <c r="AE343" t="b">
        <f t="shared" si="22"/>
        <v>0</v>
      </c>
      <c r="AF343" t="b">
        <f t="shared" si="23"/>
        <v>1</v>
      </c>
    </row>
    <row r="344" spans="1:32">
      <c r="A344" t="s">
        <v>1358</v>
      </c>
      <c r="B344" s="1" t="s">
        <v>1359</v>
      </c>
      <c r="C344" s="2">
        <v>46090.920740740701</v>
      </c>
      <c r="D344" s="1" t="s">
        <v>30</v>
      </c>
      <c r="E344" s="1" t="s">
        <v>1360</v>
      </c>
      <c r="F344" s="1" t="s">
        <v>274</v>
      </c>
      <c r="G344" s="3">
        <v>46142</v>
      </c>
      <c r="H344" s="1" t="s">
        <v>1361</v>
      </c>
      <c r="I344" s="1" t="s">
        <v>852</v>
      </c>
      <c r="J344" s="1" t="s">
        <v>35</v>
      </c>
      <c r="K344" s="1" t="s">
        <v>1206</v>
      </c>
      <c r="L344" t="s">
        <v>274</v>
      </c>
      <c r="M344" s="1" t="s">
        <v>37</v>
      </c>
      <c r="N344" s="3">
        <v>46090</v>
      </c>
      <c r="O344" s="1" t="s">
        <v>30</v>
      </c>
      <c r="P344" s="4">
        <v>99219</v>
      </c>
      <c r="Q344" s="5">
        <v>1</v>
      </c>
      <c r="R344" s="1" t="s">
        <v>38</v>
      </c>
      <c r="S344" s="5">
        <v>0</v>
      </c>
      <c r="T344" s="1" t="s">
        <v>39</v>
      </c>
      <c r="U344" s="4">
        <v>122475.91</v>
      </c>
      <c r="V344" s="5">
        <v>2</v>
      </c>
      <c r="W344" s="5">
        <v>0</v>
      </c>
      <c r="Y344" s="1" t="s">
        <v>72</v>
      </c>
      <c r="Z344" s="3">
        <v>46142</v>
      </c>
      <c r="AA344" s="1" t="s">
        <v>41</v>
      </c>
      <c r="AB344" s="1" t="s">
        <v>42</v>
      </c>
      <c r="AC344" t="b">
        <f t="shared" si="20"/>
        <v>0</v>
      </c>
      <c r="AD344" t="b">
        <f t="shared" si="21"/>
        <v>0</v>
      </c>
      <c r="AE344" t="b">
        <f t="shared" si="22"/>
        <v>0</v>
      </c>
      <c r="AF344" t="b">
        <f t="shared" si="23"/>
        <v>0</v>
      </c>
    </row>
    <row r="345" spans="1:32">
      <c r="A345" t="s">
        <v>1362</v>
      </c>
      <c r="B345" s="1" t="s">
        <v>1363</v>
      </c>
      <c r="C345" s="2">
        <v>46129.128414351799</v>
      </c>
      <c r="D345" s="1" t="s">
        <v>30</v>
      </c>
      <c r="E345" s="1" t="s">
        <v>1364</v>
      </c>
      <c r="F345" s="1" t="s">
        <v>1059</v>
      </c>
      <c r="G345" s="3">
        <v>46129</v>
      </c>
      <c r="H345" s="1" t="s">
        <v>1365</v>
      </c>
      <c r="I345" s="1" t="s">
        <v>63</v>
      </c>
      <c r="J345" s="1" t="s">
        <v>35</v>
      </c>
      <c r="K345" s="1" t="s">
        <v>202</v>
      </c>
      <c r="L345" t="s">
        <v>1059</v>
      </c>
      <c r="N345" s="3">
        <v>46129</v>
      </c>
      <c r="O345" s="1" t="s">
        <v>30</v>
      </c>
      <c r="P345" s="4">
        <v>100000</v>
      </c>
      <c r="Q345" s="5">
        <v>3</v>
      </c>
      <c r="R345" s="1" t="s">
        <v>38</v>
      </c>
      <c r="T345" s="1" t="s">
        <v>39</v>
      </c>
      <c r="U345" s="4">
        <v>127009.99</v>
      </c>
      <c r="V345" s="5">
        <v>1</v>
      </c>
      <c r="W345" s="5">
        <v>4000</v>
      </c>
      <c r="Y345" s="1" t="s">
        <v>58</v>
      </c>
      <c r="Z345" s="3">
        <v>46129</v>
      </c>
      <c r="AA345" s="1" t="s">
        <v>41</v>
      </c>
      <c r="AB345" s="1" t="s">
        <v>42</v>
      </c>
      <c r="AC345" t="b">
        <f t="shared" si="20"/>
        <v>0</v>
      </c>
      <c r="AD345" t="b">
        <f t="shared" si="21"/>
        <v>0</v>
      </c>
      <c r="AE345" t="b">
        <f t="shared" si="22"/>
        <v>0</v>
      </c>
      <c r="AF345" t="b">
        <f t="shared" si="23"/>
        <v>0</v>
      </c>
    </row>
    <row r="346" spans="1:32">
      <c r="A346" t="s">
        <v>1366</v>
      </c>
      <c r="B346" s="1" t="s">
        <v>1367</v>
      </c>
      <c r="C346" s="2">
        <v>46182.878206018497</v>
      </c>
      <c r="D346" s="1" t="s">
        <v>30</v>
      </c>
      <c r="E346" s="1" t="s">
        <v>241</v>
      </c>
      <c r="F346" s="1" t="s">
        <v>242</v>
      </c>
      <c r="G346" s="3">
        <v>46226</v>
      </c>
      <c r="H346" s="1" t="s">
        <v>1368</v>
      </c>
      <c r="I346" s="1" t="s">
        <v>34</v>
      </c>
      <c r="J346" s="1" t="s">
        <v>244</v>
      </c>
      <c r="K346" s="1" t="s">
        <v>35</v>
      </c>
      <c r="L346" t="s">
        <v>242</v>
      </c>
      <c r="M346" s="1" t="s">
        <v>45</v>
      </c>
      <c r="N346" s="3">
        <v>46182</v>
      </c>
      <c r="O346" s="1" t="s">
        <v>30</v>
      </c>
      <c r="P346" s="4">
        <v>100000</v>
      </c>
      <c r="Q346" s="5">
        <v>10</v>
      </c>
      <c r="R346" s="1" t="s">
        <v>38</v>
      </c>
      <c r="S346" s="5">
        <v>2000</v>
      </c>
      <c r="T346" s="1" t="s">
        <v>39</v>
      </c>
      <c r="U346" s="4">
        <v>125119.98</v>
      </c>
      <c r="Y346" s="1" t="s">
        <v>115</v>
      </c>
      <c r="Z346" s="3">
        <v>46226</v>
      </c>
      <c r="AA346" s="1" t="s">
        <v>41</v>
      </c>
      <c r="AB346" s="1" t="s">
        <v>42</v>
      </c>
      <c r="AC346" t="b">
        <f t="shared" si="20"/>
        <v>0</v>
      </c>
      <c r="AD346" t="b">
        <f t="shared" si="21"/>
        <v>0</v>
      </c>
      <c r="AE346" t="b">
        <f t="shared" si="22"/>
        <v>0</v>
      </c>
      <c r="AF346" t="b">
        <f t="shared" si="23"/>
        <v>0</v>
      </c>
    </row>
    <row r="347" spans="1:32">
      <c r="A347" t="s">
        <v>1369</v>
      </c>
      <c r="B347" s="1" t="s">
        <v>1370</v>
      </c>
      <c r="C347" s="2">
        <v>46112.182546296302</v>
      </c>
      <c r="D347" s="1" t="s">
        <v>30</v>
      </c>
      <c r="E347" s="1" t="s">
        <v>1371</v>
      </c>
      <c r="F347" s="1" t="s">
        <v>206</v>
      </c>
      <c r="G347" s="3">
        <v>46045</v>
      </c>
      <c r="H347" s="1" t="s">
        <v>1372</v>
      </c>
      <c r="I347" s="1" t="s">
        <v>63</v>
      </c>
      <c r="J347" s="1" t="s">
        <v>226</v>
      </c>
      <c r="K347" s="1" t="s">
        <v>35</v>
      </c>
      <c r="L347" t="s">
        <v>206</v>
      </c>
      <c r="N347" s="3">
        <v>46045</v>
      </c>
      <c r="O347" s="1" t="s">
        <v>30</v>
      </c>
      <c r="P347" s="4">
        <v>100000</v>
      </c>
      <c r="Q347" s="5">
        <v>2</v>
      </c>
      <c r="R347" s="1" t="s">
        <v>38</v>
      </c>
      <c r="T347" s="1" t="s">
        <v>39</v>
      </c>
      <c r="U347" s="4">
        <v>120070.02</v>
      </c>
      <c r="V347" s="5">
        <v>10</v>
      </c>
      <c r="W347" s="5">
        <v>200</v>
      </c>
      <c r="Y347" s="1" t="s">
        <v>58</v>
      </c>
      <c r="Z347" s="3">
        <v>46045</v>
      </c>
      <c r="AA347" s="1" t="s">
        <v>41</v>
      </c>
      <c r="AB347" s="1" t="s">
        <v>42</v>
      </c>
      <c r="AC347" t="b">
        <f t="shared" si="20"/>
        <v>0</v>
      </c>
      <c r="AD347" t="b">
        <f t="shared" si="21"/>
        <v>0</v>
      </c>
      <c r="AE347" t="b">
        <f t="shared" si="22"/>
        <v>0</v>
      </c>
      <c r="AF347" t="b">
        <f t="shared" si="23"/>
        <v>0</v>
      </c>
    </row>
    <row r="348" spans="1:32">
      <c r="A348" t="s">
        <v>1373</v>
      </c>
      <c r="B348" s="1" t="s">
        <v>1374</v>
      </c>
      <c r="C348" s="2">
        <v>46112.182546296302</v>
      </c>
      <c r="D348" s="1" t="s">
        <v>30</v>
      </c>
      <c r="E348" s="1" t="s">
        <v>1371</v>
      </c>
      <c r="F348" s="1" t="s">
        <v>206</v>
      </c>
      <c r="G348" s="3">
        <v>46045</v>
      </c>
      <c r="H348" s="1" t="s">
        <v>1372</v>
      </c>
      <c r="I348" s="1" t="s">
        <v>63</v>
      </c>
      <c r="J348" s="1" t="s">
        <v>1279</v>
      </c>
      <c r="K348" s="1" t="s">
        <v>35</v>
      </c>
      <c r="L348" t="s">
        <v>206</v>
      </c>
      <c r="N348" s="3">
        <v>46045</v>
      </c>
      <c r="O348" s="1" t="s">
        <v>30</v>
      </c>
      <c r="P348" s="4">
        <v>100000</v>
      </c>
      <c r="Q348" s="5">
        <v>5</v>
      </c>
      <c r="R348" s="1" t="s">
        <v>38</v>
      </c>
      <c r="T348" s="1" t="s">
        <v>39</v>
      </c>
      <c r="U348" s="4">
        <v>120070.02</v>
      </c>
      <c r="V348" s="5">
        <v>100</v>
      </c>
      <c r="W348" s="5">
        <v>100</v>
      </c>
      <c r="Y348" s="1" t="s">
        <v>58</v>
      </c>
      <c r="Z348" s="3">
        <v>46045</v>
      </c>
      <c r="AA348" s="1" t="s">
        <v>41</v>
      </c>
      <c r="AB348" s="1" t="s">
        <v>42</v>
      </c>
      <c r="AC348" t="b">
        <f t="shared" si="20"/>
        <v>0</v>
      </c>
      <c r="AD348" t="b">
        <f t="shared" si="21"/>
        <v>0</v>
      </c>
      <c r="AE348" t="b">
        <f t="shared" si="22"/>
        <v>0</v>
      </c>
      <c r="AF348" t="b">
        <f t="shared" si="23"/>
        <v>0</v>
      </c>
    </row>
    <row r="349" spans="1:32">
      <c r="A349" t="s">
        <v>1375</v>
      </c>
      <c r="B349" s="1" t="s">
        <v>1376</v>
      </c>
      <c r="C349" s="2">
        <v>46066.920416666697</v>
      </c>
      <c r="D349" s="1" t="s">
        <v>30</v>
      </c>
      <c r="E349" s="1" t="s">
        <v>1377</v>
      </c>
      <c r="F349" s="1" t="s">
        <v>443</v>
      </c>
      <c r="G349" s="3">
        <v>46081</v>
      </c>
      <c r="H349" s="1" t="s">
        <v>1378</v>
      </c>
      <c r="I349" s="1" t="s">
        <v>63</v>
      </c>
      <c r="J349" s="1" t="s">
        <v>35</v>
      </c>
      <c r="K349" s="1" t="s">
        <v>563</v>
      </c>
      <c r="L349" t="s">
        <v>443</v>
      </c>
      <c r="N349" s="3">
        <v>46066</v>
      </c>
      <c r="O349" s="1" t="s">
        <v>30</v>
      </c>
      <c r="P349" s="4">
        <v>100000</v>
      </c>
      <c r="Q349" s="5">
        <v>7</v>
      </c>
      <c r="R349" s="1" t="s">
        <v>38</v>
      </c>
      <c r="T349" s="1" t="s">
        <v>39</v>
      </c>
      <c r="U349" s="4">
        <v>120719.98</v>
      </c>
      <c r="V349" s="5">
        <v>0</v>
      </c>
      <c r="W349" s="5">
        <v>84</v>
      </c>
      <c r="Y349" s="1" t="s">
        <v>72</v>
      </c>
      <c r="Z349" s="3">
        <v>46081</v>
      </c>
      <c r="AA349" s="1" t="s">
        <v>41</v>
      </c>
      <c r="AB349" s="1" t="s">
        <v>42</v>
      </c>
      <c r="AC349" t="b">
        <f t="shared" si="20"/>
        <v>0</v>
      </c>
      <c r="AD349" t="b">
        <f t="shared" si="21"/>
        <v>0</v>
      </c>
      <c r="AE349" t="b">
        <f t="shared" si="22"/>
        <v>0</v>
      </c>
      <c r="AF349" t="b">
        <f t="shared" si="23"/>
        <v>0</v>
      </c>
    </row>
    <row r="350" spans="1:32">
      <c r="A350" t="s">
        <v>1379</v>
      </c>
      <c r="B350" s="1" t="s">
        <v>1380</v>
      </c>
      <c r="C350" s="2">
        <v>46148.707858796297</v>
      </c>
      <c r="D350" s="1" t="s">
        <v>30</v>
      </c>
      <c r="E350" s="1" t="s">
        <v>1153</v>
      </c>
      <c r="F350" s="1" t="s">
        <v>313</v>
      </c>
      <c r="G350" s="3">
        <v>46148</v>
      </c>
      <c r="H350" s="1" t="s">
        <v>1381</v>
      </c>
      <c r="I350" s="1" t="s">
        <v>34</v>
      </c>
      <c r="J350" s="1" t="s">
        <v>103</v>
      </c>
      <c r="K350" s="1" t="s">
        <v>35</v>
      </c>
      <c r="L350" t="s">
        <v>313</v>
      </c>
      <c r="M350" s="1" t="s">
        <v>45</v>
      </c>
      <c r="N350" s="3">
        <v>46148</v>
      </c>
      <c r="O350" s="1" t="s">
        <v>30</v>
      </c>
      <c r="P350" s="4">
        <v>100000</v>
      </c>
      <c r="Q350" s="5">
        <v>3</v>
      </c>
      <c r="R350" s="1" t="s">
        <v>38</v>
      </c>
      <c r="S350" s="5">
        <v>500</v>
      </c>
      <c r="T350" s="1" t="s">
        <v>39</v>
      </c>
      <c r="U350" s="4">
        <v>129760.01</v>
      </c>
      <c r="Y350" s="1" t="s">
        <v>40</v>
      </c>
      <c r="Z350" s="3">
        <v>46148</v>
      </c>
      <c r="AA350" s="1" t="s">
        <v>41</v>
      </c>
      <c r="AB350" s="1" t="s">
        <v>42</v>
      </c>
      <c r="AC350" t="b">
        <f t="shared" si="20"/>
        <v>0</v>
      </c>
      <c r="AD350" t="b">
        <f t="shared" si="21"/>
        <v>0</v>
      </c>
      <c r="AE350" t="b">
        <f t="shared" si="22"/>
        <v>0</v>
      </c>
      <c r="AF350" t="b">
        <f t="shared" si="23"/>
        <v>0</v>
      </c>
    </row>
    <row r="351" spans="1:32">
      <c r="A351" t="s">
        <v>1382</v>
      </c>
      <c r="B351" s="1" t="s">
        <v>1383</v>
      </c>
      <c r="C351" s="2">
        <v>46123.083726851903</v>
      </c>
      <c r="D351" s="1" t="s">
        <v>30</v>
      </c>
      <c r="E351" s="1" t="s">
        <v>1384</v>
      </c>
      <c r="F351" s="1" t="s">
        <v>387</v>
      </c>
      <c r="G351" s="3">
        <v>46122</v>
      </c>
      <c r="H351" s="1" t="s">
        <v>1385</v>
      </c>
      <c r="I351" s="1" t="s">
        <v>63</v>
      </c>
      <c r="J351" s="1" t="s">
        <v>244</v>
      </c>
      <c r="K351" s="1" t="s">
        <v>35</v>
      </c>
      <c r="L351" t="s">
        <v>387</v>
      </c>
      <c r="N351" s="3">
        <v>46122</v>
      </c>
      <c r="O351" s="1" t="s">
        <v>30</v>
      </c>
      <c r="P351" s="4">
        <v>100000</v>
      </c>
      <c r="Q351" s="5">
        <v>5</v>
      </c>
      <c r="R351" s="1" t="s">
        <v>38</v>
      </c>
      <c r="T351" s="1" t="s">
        <v>39</v>
      </c>
      <c r="U351" s="4">
        <v>126250.04</v>
      </c>
      <c r="V351" s="5">
        <v>20</v>
      </c>
      <c r="W351" s="5">
        <v>0</v>
      </c>
      <c r="Y351" s="1" t="s">
        <v>58</v>
      </c>
      <c r="Z351" s="3">
        <v>46122</v>
      </c>
      <c r="AA351" s="1" t="s">
        <v>41</v>
      </c>
      <c r="AB351" s="1" t="s">
        <v>42</v>
      </c>
      <c r="AC351" t="b">
        <f t="shared" si="20"/>
        <v>0</v>
      </c>
      <c r="AD351" t="b">
        <f t="shared" si="21"/>
        <v>0</v>
      </c>
      <c r="AE351" t="b">
        <f t="shared" si="22"/>
        <v>0</v>
      </c>
      <c r="AF351" t="b">
        <f t="shared" si="23"/>
        <v>0</v>
      </c>
    </row>
    <row r="352" spans="1:32">
      <c r="A352" t="s">
        <v>1386</v>
      </c>
      <c r="B352" s="1" t="s">
        <v>1387</v>
      </c>
      <c r="C352" s="2">
        <v>46123.083715277797</v>
      </c>
      <c r="D352" s="1" t="s">
        <v>30</v>
      </c>
      <c r="E352" s="1" t="s">
        <v>1384</v>
      </c>
      <c r="F352" s="1" t="s">
        <v>387</v>
      </c>
      <c r="G352" s="3">
        <v>46122</v>
      </c>
      <c r="H352" s="1" t="s">
        <v>1385</v>
      </c>
      <c r="I352" s="1" t="s">
        <v>63</v>
      </c>
      <c r="J352" s="1" t="s">
        <v>647</v>
      </c>
      <c r="K352" s="1" t="s">
        <v>35</v>
      </c>
      <c r="L352" t="s">
        <v>387</v>
      </c>
      <c r="N352" s="3">
        <v>46122</v>
      </c>
      <c r="O352" s="1" t="s">
        <v>30</v>
      </c>
      <c r="P352" s="4">
        <v>100000</v>
      </c>
      <c r="Q352" s="5">
        <v>5</v>
      </c>
      <c r="R352" s="1" t="s">
        <v>38</v>
      </c>
      <c r="T352" s="1" t="s">
        <v>39</v>
      </c>
      <c r="U352" s="4">
        <v>126250.04</v>
      </c>
      <c r="V352" s="5">
        <v>20</v>
      </c>
      <c r="W352" s="5">
        <v>0</v>
      </c>
      <c r="Y352" s="1" t="s">
        <v>58</v>
      </c>
      <c r="Z352" s="3">
        <v>46122</v>
      </c>
      <c r="AA352" s="1" t="s">
        <v>41</v>
      </c>
      <c r="AB352" s="1" t="s">
        <v>42</v>
      </c>
      <c r="AC352" t="b">
        <f t="shared" si="20"/>
        <v>0</v>
      </c>
      <c r="AD352" t="b">
        <f t="shared" si="21"/>
        <v>0</v>
      </c>
      <c r="AE352" t="b">
        <f t="shared" si="22"/>
        <v>0</v>
      </c>
      <c r="AF352" t="b">
        <f t="shared" si="23"/>
        <v>0</v>
      </c>
    </row>
    <row r="353" spans="1:32">
      <c r="A353" t="s">
        <v>1388</v>
      </c>
      <c r="B353" s="1" t="s">
        <v>1389</v>
      </c>
      <c r="C353" s="2">
        <v>46168.792615740698</v>
      </c>
      <c r="D353" s="1" t="s">
        <v>30</v>
      </c>
      <c r="E353" s="1" t="s">
        <v>1271</v>
      </c>
      <c r="F353" s="1" t="s">
        <v>1059</v>
      </c>
      <c r="G353" s="3">
        <v>46168</v>
      </c>
      <c r="H353" s="1" t="s">
        <v>1390</v>
      </c>
      <c r="I353" s="1" t="s">
        <v>63</v>
      </c>
      <c r="J353" s="1" t="s">
        <v>35</v>
      </c>
      <c r="K353" s="1" t="s">
        <v>136</v>
      </c>
      <c r="L353" t="s">
        <v>1059</v>
      </c>
      <c r="N353" s="3">
        <v>46168</v>
      </c>
      <c r="O353" s="1" t="s">
        <v>30</v>
      </c>
      <c r="P353" s="4">
        <v>100000</v>
      </c>
      <c r="Q353" s="5">
        <v>3</v>
      </c>
      <c r="R353" s="1" t="s">
        <v>65</v>
      </c>
      <c r="T353" s="1" t="s">
        <v>39</v>
      </c>
      <c r="U353" s="4">
        <v>128469.98</v>
      </c>
      <c r="V353" s="5">
        <v>6</v>
      </c>
      <c r="W353" s="5">
        <v>600</v>
      </c>
      <c r="Y353" s="1" t="s">
        <v>58</v>
      </c>
      <c r="Z353" s="3">
        <v>46168</v>
      </c>
      <c r="AA353" s="1" t="s">
        <v>41</v>
      </c>
      <c r="AB353" s="1" t="s">
        <v>42</v>
      </c>
      <c r="AC353" t="b">
        <f t="shared" si="20"/>
        <v>1</v>
      </c>
      <c r="AD353" t="b">
        <f t="shared" si="21"/>
        <v>0</v>
      </c>
      <c r="AE353" t="b">
        <f t="shared" si="22"/>
        <v>0</v>
      </c>
      <c r="AF353" t="b">
        <f t="shared" si="23"/>
        <v>0</v>
      </c>
    </row>
    <row r="354" spans="1:32">
      <c r="A354" t="s">
        <v>1391</v>
      </c>
      <c r="B354" s="1" t="s">
        <v>1392</v>
      </c>
      <c r="C354" s="2">
        <v>46133.879652777803</v>
      </c>
      <c r="D354" s="1" t="s">
        <v>30</v>
      </c>
      <c r="E354" s="1" t="s">
        <v>1264</v>
      </c>
      <c r="F354" s="1" t="s">
        <v>1081</v>
      </c>
      <c r="G354" s="3">
        <v>46132</v>
      </c>
      <c r="H354" s="1" t="s">
        <v>1393</v>
      </c>
      <c r="I354" s="1" t="s">
        <v>34</v>
      </c>
      <c r="J354" s="1" t="s">
        <v>35</v>
      </c>
      <c r="K354" s="1" t="s">
        <v>280</v>
      </c>
      <c r="L354" t="s">
        <v>1081</v>
      </c>
      <c r="N354" s="3">
        <v>46133</v>
      </c>
      <c r="O354" s="1" t="s">
        <v>30</v>
      </c>
      <c r="P354" s="4">
        <v>100000</v>
      </c>
      <c r="Q354" s="5">
        <v>4</v>
      </c>
      <c r="R354" s="1" t="s">
        <v>38</v>
      </c>
      <c r="S354" s="5">
        <v>8000</v>
      </c>
      <c r="T354" s="1" t="s">
        <v>39</v>
      </c>
      <c r="U354" s="4">
        <v>127900</v>
      </c>
      <c r="Y354" s="1" t="s">
        <v>58</v>
      </c>
      <c r="Z354" s="3">
        <v>46132</v>
      </c>
      <c r="AA354" s="1" t="s">
        <v>41</v>
      </c>
      <c r="AB354" s="1" t="s">
        <v>42</v>
      </c>
      <c r="AC354" t="b">
        <f t="shared" si="20"/>
        <v>0</v>
      </c>
      <c r="AD354" t="b">
        <f t="shared" si="21"/>
        <v>0</v>
      </c>
      <c r="AE354" t="b">
        <f t="shared" si="22"/>
        <v>0</v>
      </c>
      <c r="AF354" t="b">
        <f t="shared" si="23"/>
        <v>0</v>
      </c>
    </row>
    <row r="355" spans="1:32">
      <c r="A355" t="s">
        <v>1394</v>
      </c>
      <c r="B355" s="1" t="s">
        <v>1395</v>
      </c>
      <c r="C355" s="2">
        <v>46119.785208333298</v>
      </c>
      <c r="D355" s="1" t="s">
        <v>30</v>
      </c>
      <c r="E355" s="1" t="s">
        <v>1396</v>
      </c>
      <c r="F355" s="1" t="s">
        <v>1059</v>
      </c>
      <c r="G355" s="3">
        <v>46119</v>
      </c>
      <c r="H355" s="1" t="s">
        <v>1397</v>
      </c>
      <c r="I355" s="1" t="s">
        <v>34</v>
      </c>
      <c r="J355" s="1" t="s">
        <v>244</v>
      </c>
      <c r="K355" s="1" t="s">
        <v>35</v>
      </c>
      <c r="L355" t="s">
        <v>1059</v>
      </c>
      <c r="N355" s="3">
        <v>46119</v>
      </c>
      <c r="O355" s="1" t="s">
        <v>30</v>
      </c>
      <c r="P355" s="4">
        <v>100000</v>
      </c>
      <c r="Q355" s="5">
        <v>227</v>
      </c>
      <c r="R355" s="1" t="s">
        <v>38</v>
      </c>
      <c r="S355" s="5">
        <v>29600</v>
      </c>
      <c r="T355" s="1" t="s">
        <v>39</v>
      </c>
      <c r="U355" s="4">
        <v>125790.05</v>
      </c>
      <c r="Y355" s="1" t="s">
        <v>58</v>
      </c>
      <c r="Z355" s="3">
        <v>46119</v>
      </c>
      <c r="AA355" s="1" t="s">
        <v>41</v>
      </c>
      <c r="AB355" s="1" t="s">
        <v>42</v>
      </c>
      <c r="AC355" t="b">
        <f t="shared" si="20"/>
        <v>0</v>
      </c>
      <c r="AD355" t="b">
        <f t="shared" si="21"/>
        <v>0</v>
      </c>
      <c r="AE355" t="b">
        <f t="shared" si="22"/>
        <v>0</v>
      </c>
      <c r="AF355" t="b">
        <f t="shared" si="23"/>
        <v>0</v>
      </c>
    </row>
    <row r="356" spans="1:32">
      <c r="A356" t="s">
        <v>1398</v>
      </c>
      <c r="B356" s="1" t="s">
        <v>1399</v>
      </c>
      <c r="C356" s="2">
        <v>46101.5602546296</v>
      </c>
      <c r="D356" s="1" t="s">
        <v>30</v>
      </c>
      <c r="E356" s="1" t="s">
        <v>650</v>
      </c>
      <c r="F356" s="1" t="s">
        <v>533</v>
      </c>
      <c r="G356" s="3">
        <v>46101</v>
      </c>
      <c r="H356" s="1" t="s">
        <v>942</v>
      </c>
      <c r="I356" s="1" t="s">
        <v>63</v>
      </c>
      <c r="J356" s="1" t="s">
        <v>819</v>
      </c>
      <c r="K356" s="1" t="s">
        <v>35</v>
      </c>
      <c r="L356" t="s">
        <v>652</v>
      </c>
      <c r="M356" s="1" t="s">
        <v>45</v>
      </c>
      <c r="N356" s="3">
        <v>46101</v>
      </c>
      <c r="O356" s="1" t="s">
        <v>30</v>
      </c>
      <c r="P356" s="4">
        <v>100200</v>
      </c>
      <c r="Q356" s="5">
        <v>50</v>
      </c>
      <c r="R356" s="1" t="s">
        <v>65</v>
      </c>
      <c r="S356" s="5">
        <v>0</v>
      </c>
      <c r="T356" s="1" t="s">
        <v>39</v>
      </c>
      <c r="U356" s="4">
        <v>124438.36</v>
      </c>
      <c r="V356" s="5">
        <v>0</v>
      </c>
      <c r="W356" s="5">
        <v>124</v>
      </c>
      <c r="Z356" s="3">
        <v>46101</v>
      </c>
      <c r="AA356" s="1" t="s">
        <v>41</v>
      </c>
      <c r="AB356" s="1" t="s">
        <v>42</v>
      </c>
      <c r="AC356" t="b">
        <f t="shared" si="20"/>
        <v>1</v>
      </c>
      <c r="AD356" t="b">
        <f t="shared" si="21"/>
        <v>0</v>
      </c>
      <c r="AE356" t="b">
        <f t="shared" si="22"/>
        <v>0</v>
      </c>
      <c r="AF356" t="b">
        <f t="shared" si="23"/>
        <v>0</v>
      </c>
    </row>
    <row r="357" spans="1:32">
      <c r="A357" t="s">
        <v>1400</v>
      </c>
      <c r="B357" s="1" t="s">
        <v>1401</v>
      </c>
      <c r="C357" s="2">
        <v>46135.879733796297</v>
      </c>
      <c r="D357" s="1" t="s">
        <v>30</v>
      </c>
      <c r="E357" s="1" t="s">
        <v>920</v>
      </c>
      <c r="F357" s="1" t="s">
        <v>266</v>
      </c>
      <c r="G357" s="3">
        <v>46147</v>
      </c>
      <c r="H357" s="1" t="s">
        <v>1402</v>
      </c>
      <c r="I357" s="1" t="s">
        <v>34</v>
      </c>
      <c r="J357" s="1" t="s">
        <v>35</v>
      </c>
      <c r="K357" s="1" t="s">
        <v>706</v>
      </c>
      <c r="L357" t="s">
        <v>266</v>
      </c>
      <c r="N357" s="3">
        <v>46135</v>
      </c>
      <c r="O357" s="1" t="s">
        <v>30</v>
      </c>
      <c r="P357" s="4">
        <v>104000</v>
      </c>
      <c r="Q357" s="5">
        <v>10</v>
      </c>
      <c r="R357" s="1" t="s">
        <v>38</v>
      </c>
      <c r="S357" s="5">
        <v>668</v>
      </c>
      <c r="T357" s="1" t="s">
        <v>39</v>
      </c>
      <c r="U357" s="4">
        <v>133868.76999999999</v>
      </c>
      <c r="Y357" s="1" t="s">
        <v>72</v>
      </c>
      <c r="Z357" s="3">
        <v>46147</v>
      </c>
      <c r="AA357" s="1" t="s">
        <v>41</v>
      </c>
      <c r="AB357" s="1" t="s">
        <v>42</v>
      </c>
      <c r="AC357" t="b">
        <f t="shared" si="20"/>
        <v>0</v>
      </c>
      <c r="AD357" t="b">
        <f t="shared" si="21"/>
        <v>0</v>
      </c>
      <c r="AE357" t="b">
        <f t="shared" si="22"/>
        <v>0</v>
      </c>
      <c r="AF357" t="b">
        <f t="shared" si="23"/>
        <v>0</v>
      </c>
    </row>
    <row r="358" spans="1:32">
      <c r="A358" t="s">
        <v>1403</v>
      </c>
      <c r="B358" s="1" t="s">
        <v>1404</v>
      </c>
      <c r="C358" s="2">
        <v>46164.829085648104</v>
      </c>
      <c r="D358" s="1" t="s">
        <v>30</v>
      </c>
      <c r="E358" s="1" t="s">
        <v>510</v>
      </c>
      <c r="F358" s="1" t="s">
        <v>348</v>
      </c>
      <c r="G358" s="3">
        <v>46164</v>
      </c>
      <c r="H358" s="1" t="s">
        <v>1405</v>
      </c>
      <c r="I358" s="1" t="s">
        <v>97</v>
      </c>
      <c r="J358" s="1" t="s">
        <v>35</v>
      </c>
      <c r="K358" s="1" t="s">
        <v>280</v>
      </c>
      <c r="L358" t="s">
        <v>348</v>
      </c>
      <c r="M358" s="1" t="s">
        <v>37</v>
      </c>
      <c r="N358" s="3">
        <v>46164</v>
      </c>
      <c r="O358" s="1" t="s">
        <v>30</v>
      </c>
      <c r="P358" s="4">
        <v>105000</v>
      </c>
      <c r="Q358" s="5">
        <v>3</v>
      </c>
      <c r="R358" s="1" t="s">
        <v>38</v>
      </c>
      <c r="T358" s="1" t="s">
        <v>39</v>
      </c>
      <c r="U358" s="4">
        <v>135040.47</v>
      </c>
      <c r="Y358" s="1" t="s">
        <v>227</v>
      </c>
      <c r="Z358" s="3">
        <v>46164</v>
      </c>
      <c r="AA358" s="1" t="s">
        <v>41</v>
      </c>
      <c r="AB358" s="1" t="s">
        <v>42</v>
      </c>
      <c r="AC358" t="b">
        <f t="shared" si="20"/>
        <v>0</v>
      </c>
      <c r="AD358" t="b">
        <f t="shared" si="21"/>
        <v>0</v>
      </c>
      <c r="AE358" t="b">
        <f t="shared" si="22"/>
        <v>0</v>
      </c>
      <c r="AF358" t="b">
        <f t="shared" si="23"/>
        <v>0</v>
      </c>
    </row>
    <row r="359" spans="1:32">
      <c r="A359" t="s">
        <v>1406</v>
      </c>
      <c r="B359" s="1" t="s">
        <v>1407</v>
      </c>
      <c r="C359" s="2">
        <v>46120.890324074098</v>
      </c>
      <c r="D359" s="1" t="s">
        <v>30</v>
      </c>
      <c r="E359" s="1" t="s">
        <v>1408</v>
      </c>
      <c r="F359" s="1" t="s">
        <v>242</v>
      </c>
      <c r="G359" s="3">
        <v>46185</v>
      </c>
      <c r="H359" s="1" t="s">
        <v>1409</v>
      </c>
      <c r="I359" s="1" t="s">
        <v>34</v>
      </c>
      <c r="J359" s="1" t="s">
        <v>136</v>
      </c>
      <c r="K359" s="1" t="s">
        <v>35</v>
      </c>
      <c r="L359" t="s">
        <v>242</v>
      </c>
      <c r="M359" s="1" t="s">
        <v>37</v>
      </c>
      <c r="N359" s="3">
        <v>46120</v>
      </c>
      <c r="O359" s="1" t="s">
        <v>30</v>
      </c>
      <c r="P359" s="4">
        <v>105000</v>
      </c>
      <c r="Q359" s="5">
        <v>30</v>
      </c>
      <c r="R359" s="1" t="s">
        <v>38</v>
      </c>
      <c r="S359" s="5">
        <v>6000</v>
      </c>
      <c r="T359" s="1" t="s">
        <v>39</v>
      </c>
      <c r="U359" s="4">
        <v>131628.04999999999</v>
      </c>
      <c r="Y359" s="1" t="s">
        <v>115</v>
      </c>
      <c r="Z359" s="3">
        <v>46185</v>
      </c>
      <c r="AA359" s="1" t="s">
        <v>41</v>
      </c>
      <c r="AB359" s="1" t="s">
        <v>42</v>
      </c>
      <c r="AC359" t="b">
        <f t="shared" si="20"/>
        <v>0</v>
      </c>
      <c r="AD359" t="b">
        <f t="shared" si="21"/>
        <v>0</v>
      </c>
      <c r="AE359" t="b">
        <f t="shared" si="22"/>
        <v>0</v>
      </c>
      <c r="AF359" t="b">
        <f t="shared" si="23"/>
        <v>0</v>
      </c>
    </row>
    <row r="360" spans="1:32">
      <c r="A360" t="s">
        <v>1410</v>
      </c>
      <c r="B360" s="1" t="s">
        <v>1411</v>
      </c>
      <c r="C360" s="2">
        <v>46029.618750000001</v>
      </c>
      <c r="D360" s="1" t="s">
        <v>30</v>
      </c>
      <c r="E360" s="1" t="s">
        <v>802</v>
      </c>
      <c r="F360" s="1" t="s">
        <v>274</v>
      </c>
      <c r="G360" s="3">
        <v>46029</v>
      </c>
      <c r="H360" s="1" t="s">
        <v>1412</v>
      </c>
      <c r="I360" s="1" t="s">
        <v>34</v>
      </c>
      <c r="J360" s="1" t="s">
        <v>35</v>
      </c>
      <c r="K360" s="1" t="s">
        <v>108</v>
      </c>
      <c r="L360" t="s">
        <v>274</v>
      </c>
      <c r="M360" s="1" t="s">
        <v>37</v>
      </c>
      <c r="N360" s="3">
        <v>46029</v>
      </c>
      <c r="O360" s="1" t="s">
        <v>30</v>
      </c>
      <c r="P360" s="4">
        <v>105326</v>
      </c>
      <c r="Q360" s="5">
        <v>12</v>
      </c>
      <c r="R360" s="1" t="s">
        <v>38</v>
      </c>
      <c r="S360" s="5">
        <v>18000</v>
      </c>
      <c r="T360" s="1" t="s">
        <v>39</v>
      </c>
      <c r="U360" s="4">
        <v>124548.03</v>
      </c>
      <c r="Y360" s="1" t="s">
        <v>72</v>
      </c>
      <c r="Z360" s="3">
        <v>46029</v>
      </c>
      <c r="AA360" s="1" t="s">
        <v>41</v>
      </c>
      <c r="AB360" s="1" t="s">
        <v>42</v>
      </c>
      <c r="AC360" t="b">
        <f t="shared" si="20"/>
        <v>0</v>
      </c>
      <c r="AD360" t="b">
        <f t="shared" si="21"/>
        <v>0</v>
      </c>
      <c r="AE360" t="b">
        <f t="shared" si="22"/>
        <v>0</v>
      </c>
      <c r="AF360" t="b">
        <f t="shared" si="23"/>
        <v>0</v>
      </c>
    </row>
    <row r="361" spans="1:32">
      <c r="A361" t="s">
        <v>1413</v>
      </c>
      <c r="B361" s="1" t="s">
        <v>1414</v>
      </c>
      <c r="C361" s="2">
        <v>46085.790451388901</v>
      </c>
      <c r="D361" s="1" t="s">
        <v>30</v>
      </c>
      <c r="E361" s="1" t="s">
        <v>1415</v>
      </c>
      <c r="F361" s="1" t="s">
        <v>652</v>
      </c>
      <c r="G361" s="3">
        <v>46085</v>
      </c>
      <c r="H361" s="1" t="s">
        <v>1416</v>
      </c>
      <c r="I361" s="1" t="s">
        <v>63</v>
      </c>
      <c r="J361" s="1" t="s">
        <v>181</v>
      </c>
      <c r="K361" s="1" t="s">
        <v>35</v>
      </c>
      <c r="L361" t="s">
        <v>652</v>
      </c>
      <c r="M361" s="1" t="s">
        <v>45</v>
      </c>
      <c r="N361" s="3">
        <v>46085</v>
      </c>
      <c r="O361" s="1" t="s">
        <v>30</v>
      </c>
      <c r="P361" s="4">
        <v>110000</v>
      </c>
      <c r="Q361" s="5">
        <v>15</v>
      </c>
      <c r="R361" s="1" t="s">
        <v>38</v>
      </c>
      <c r="T361" s="1" t="s">
        <v>39</v>
      </c>
      <c r="U361" s="4">
        <v>135278.04</v>
      </c>
      <c r="V361" s="5">
        <v>15</v>
      </c>
      <c r="W361" s="5">
        <v>5</v>
      </c>
      <c r="Y361" s="1" t="s">
        <v>58</v>
      </c>
      <c r="Z361" s="3">
        <v>46085</v>
      </c>
      <c r="AA361" s="1" t="s">
        <v>41</v>
      </c>
      <c r="AB361" s="1" t="s">
        <v>42</v>
      </c>
      <c r="AC361" t="b">
        <f t="shared" si="20"/>
        <v>1</v>
      </c>
      <c r="AD361" t="b">
        <f t="shared" si="21"/>
        <v>0</v>
      </c>
      <c r="AE361" t="b">
        <f t="shared" si="22"/>
        <v>0</v>
      </c>
      <c r="AF361" t="b">
        <f t="shared" si="23"/>
        <v>0</v>
      </c>
    </row>
    <row r="362" spans="1:32">
      <c r="A362" t="s">
        <v>1417</v>
      </c>
      <c r="B362" s="1" t="s">
        <v>1418</v>
      </c>
      <c r="C362" s="2">
        <v>46107.554629629602</v>
      </c>
      <c r="D362" s="1" t="s">
        <v>30</v>
      </c>
      <c r="E362" s="1" t="s">
        <v>1312</v>
      </c>
      <c r="F362" s="1" t="s">
        <v>952</v>
      </c>
      <c r="G362" s="3">
        <v>46107</v>
      </c>
      <c r="H362" s="1" t="s">
        <v>1343</v>
      </c>
      <c r="I362" s="1" t="s">
        <v>63</v>
      </c>
      <c r="J362" s="1" t="s">
        <v>35</v>
      </c>
      <c r="K362" s="1" t="s">
        <v>57</v>
      </c>
      <c r="L362" t="s">
        <v>952</v>
      </c>
      <c r="N362" s="3">
        <v>46107</v>
      </c>
      <c r="O362" s="1" t="s">
        <v>30</v>
      </c>
      <c r="P362" s="4">
        <v>110000</v>
      </c>
      <c r="Q362" s="5">
        <v>8</v>
      </c>
      <c r="R362" s="1" t="s">
        <v>38</v>
      </c>
      <c r="T362" s="1" t="s">
        <v>39</v>
      </c>
      <c r="U362" s="4">
        <v>135530.95000000001</v>
      </c>
      <c r="V362" s="5">
        <v>24</v>
      </c>
      <c r="W362" s="5">
        <v>0</v>
      </c>
      <c r="Y362" s="1" t="s">
        <v>72</v>
      </c>
      <c r="Z362" s="3">
        <v>46107</v>
      </c>
      <c r="AA362" s="1" t="s">
        <v>41</v>
      </c>
      <c r="AB362" s="1" t="s">
        <v>42</v>
      </c>
      <c r="AC362" t="b">
        <f t="shared" si="20"/>
        <v>1</v>
      </c>
      <c r="AD362" t="b">
        <f t="shared" si="21"/>
        <v>0</v>
      </c>
      <c r="AE362" t="b">
        <f t="shared" si="22"/>
        <v>0</v>
      </c>
      <c r="AF362" t="b">
        <f t="shared" si="23"/>
        <v>0</v>
      </c>
    </row>
    <row r="363" spans="1:32">
      <c r="A363" t="s">
        <v>1419</v>
      </c>
      <c r="B363" s="1" t="s">
        <v>1420</v>
      </c>
      <c r="C363" s="2">
        <v>46090.574236111097</v>
      </c>
      <c r="D363" s="1" t="s">
        <v>30</v>
      </c>
      <c r="E363" s="1" t="s">
        <v>322</v>
      </c>
      <c r="F363" s="1" t="s">
        <v>69</v>
      </c>
      <c r="G363" s="3">
        <v>46090</v>
      </c>
      <c r="H363" s="1" t="s">
        <v>323</v>
      </c>
      <c r="I363" s="1" t="s">
        <v>63</v>
      </c>
      <c r="J363" s="1" t="s">
        <v>64</v>
      </c>
      <c r="K363" s="1" t="s">
        <v>35</v>
      </c>
      <c r="L363" t="s">
        <v>69</v>
      </c>
      <c r="N363" s="3">
        <v>46090</v>
      </c>
      <c r="O363" s="1" t="s">
        <v>30</v>
      </c>
      <c r="P363" s="4">
        <v>110000</v>
      </c>
      <c r="Q363" s="5">
        <v>110</v>
      </c>
      <c r="R363" s="1" t="s">
        <v>38</v>
      </c>
      <c r="T363" s="1" t="s">
        <v>39</v>
      </c>
      <c r="U363" s="4">
        <v>134408.97</v>
      </c>
      <c r="V363" s="5">
        <v>0</v>
      </c>
      <c r="W363" s="5">
        <v>400</v>
      </c>
      <c r="Y363" s="1" t="s">
        <v>72</v>
      </c>
      <c r="Z363" s="3">
        <v>46090</v>
      </c>
      <c r="AA363" s="1" t="s">
        <v>41</v>
      </c>
      <c r="AB363" s="1" t="s">
        <v>42</v>
      </c>
      <c r="AC363" t="b">
        <f t="shared" si="20"/>
        <v>0</v>
      </c>
      <c r="AD363" t="b">
        <f t="shared" si="21"/>
        <v>0</v>
      </c>
      <c r="AE363" t="b">
        <f t="shared" si="22"/>
        <v>0</v>
      </c>
      <c r="AF363" t="b">
        <f t="shared" si="23"/>
        <v>0</v>
      </c>
    </row>
    <row r="364" spans="1:32">
      <c r="A364" t="s">
        <v>1421</v>
      </c>
      <c r="B364" s="1" t="s">
        <v>1422</v>
      </c>
      <c r="C364" s="2">
        <v>46120.811932870398</v>
      </c>
      <c r="D364" s="1" t="s">
        <v>30</v>
      </c>
      <c r="E364" s="1" t="s">
        <v>299</v>
      </c>
      <c r="F364" s="1" t="s">
        <v>300</v>
      </c>
      <c r="G364" s="3">
        <v>46142</v>
      </c>
      <c r="H364" s="1" t="s">
        <v>301</v>
      </c>
      <c r="I364" s="1" t="s">
        <v>34</v>
      </c>
      <c r="J364" s="1" t="s">
        <v>35</v>
      </c>
      <c r="K364" s="1" t="s">
        <v>357</v>
      </c>
      <c r="L364" t="s">
        <v>300</v>
      </c>
      <c r="M364" s="1" t="s">
        <v>45</v>
      </c>
      <c r="N364" s="3">
        <v>46120</v>
      </c>
      <c r="O364" s="1" t="s">
        <v>30</v>
      </c>
      <c r="P364" s="4">
        <v>116494</v>
      </c>
      <c r="Q364" s="5">
        <v>4</v>
      </c>
      <c r="R364" s="1" t="s">
        <v>38</v>
      </c>
      <c r="S364" s="5">
        <v>7000</v>
      </c>
      <c r="T364" s="1" t="s">
        <v>39</v>
      </c>
      <c r="U364" s="4">
        <v>146036.93</v>
      </c>
      <c r="Y364" s="1" t="s">
        <v>58</v>
      </c>
      <c r="Z364" s="3">
        <v>46142</v>
      </c>
      <c r="AA364" s="1" t="s">
        <v>41</v>
      </c>
      <c r="AB364" s="1" t="s">
        <v>208</v>
      </c>
      <c r="AC364" t="b">
        <f t="shared" si="20"/>
        <v>1</v>
      </c>
      <c r="AD364" t="b">
        <f t="shared" si="21"/>
        <v>0</v>
      </c>
      <c r="AE364" t="b">
        <f t="shared" si="22"/>
        <v>0</v>
      </c>
      <c r="AF364" t="b">
        <f t="shared" si="23"/>
        <v>0</v>
      </c>
    </row>
    <row r="365" spans="1:32">
      <c r="A365" t="s">
        <v>1423</v>
      </c>
      <c r="B365" s="1" t="s">
        <v>1424</v>
      </c>
      <c r="C365" s="2">
        <v>46048.918773148202</v>
      </c>
      <c r="D365" s="1" t="s">
        <v>30</v>
      </c>
      <c r="E365" s="1" t="s">
        <v>1247</v>
      </c>
      <c r="F365" s="1" t="s">
        <v>101</v>
      </c>
      <c r="G365" s="3">
        <v>46127</v>
      </c>
      <c r="H365" s="1" t="s">
        <v>1425</v>
      </c>
      <c r="I365" s="1" t="s">
        <v>63</v>
      </c>
      <c r="J365" s="1" t="s">
        <v>35</v>
      </c>
      <c r="K365" s="1" t="s">
        <v>35</v>
      </c>
      <c r="L365" t="s">
        <v>101</v>
      </c>
      <c r="N365" s="3">
        <v>46048</v>
      </c>
      <c r="O365" s="1" t="s">
        <v>30</v>
      </c>
      <c r="P365" s="4">
        <v>117000</v>
      </c>
      <c r="Q365" s="5">
        <v>30</v>
      </c>
      <c r="R365" s="1" t="s">
        <v>38</v>
      </c>
      <c r="T365" s="1" t="s">
        <v>39</v>
      </c>
      <c r="U365" s="4">
        <v>139616.06</v>
      </c>
      <c r="V365" s="5">
        <v>5</v>
      </c>
      <c r="W365" s="5">
        <v>262</v>
      </c>
      <c r="Y365" s="1" t="s">
        <v>72</v>
      </c>
      <c r="Z365" s="3">
        <v>46127</v>
      </c>
      <c r="AA365" s="1" t="s">
        <v>41</v>
      </c>
      <c r="AB365" s="1" t="s">
        <v>42</v>
      </c>
      <c r="AC365" t="b">
        <f t="shared" si="20"/>
        <v>0</v>
      </c>
      <c r="AD365" t="b">
        <f t="shared" si="21"/>
        <v>0</v>
      </c>
      <c r="AE365" t="b">
        <f t="shared" si="22"/>
        <v>0</v>
      </c>
      <c r="AF365" t="b">
        <f t="shared" si="23"/>
        <v>0</v>
      </c>
    </row>
    <row r="366" spans="1:32">
      <c r="A366" t="s">
        <v>1426</v>
      </c>
      <c r="B366" s="1" t="s">
        <v>1427</v>
      </c>
      <c r="C366" s="2">
        <v>46083.7196527778</v>
      </c>
      <c r="D366" s="1" t="s">
        <v>30</v>
      </c>
      <c r="E366" s="1" t="s">
        <v>709</v>
      </c>
      <c r="F366" s="1" t="s">
        <v>533</v>
      </c>
      <c r="G366" s="3">
        <v>46083</v>
      </c>
      <c r="H366" s="1" t="s">
        <v>710</v>
      </c>
      <c r="I366" s="1" t="s">
        <v>63</v>
      </c>
      <c r="J366" s="1" t="s">
        <v>35</v>
      </c>
      <c r="K366" s="1" t="s">
        <v>563</v>
      </c>
      <c r="L366" t="s">
        <v>274</v>
      </c>
      <c r="M366" s="1" t="s">
        <v>37</v>
      </c>
      <c r="N366" s="3">
        <v>46083</v>
      </c>
      <c r="O366" s="1" t="s">
        <v>30</v>
      </c>
      <c r="P366" s="4">
        <v>118068</v>
      </c>
      <c r="Q366" s="5">
        <v>4</v>
      </c>
      <c r="R366" s="1" t="s">
        <v>38</v>
      </c>
      <c r="T366" s="1" t="s">
        <v>39</v>
      </c>
      <c r="U366" s="4">
        <v>144963.91</v>
      </c>
      <c r="V366" s="5">
        <v>8</v>
      </c>
      <c r="W366" s="5">
        <v>0</v>
      </c>
      <c r="Z366" s="3">
        <v>46083</v>
      </c>
      <c r="AA366" s="1" t="s">
        <v>41</v>
      </c>
      <c r="AB366" s="1" t="s">
        <v>42</v>
      </c>
      <c r="AC366" t="b">
        <f t="shared" si="20"/>
        <v>0</v>
      </c>
      <c r="AD366" t="b">
        <f t="shared" si="21"/>
        <v>0</v>
      </c>
      <c r="AE366" t="b">
        <f t="shared" si="22"/>
        <v>0</v>
      </c>
      <c r="AF366" t="b">
        <f t="shared" si="23"/>
        <v>0</v>
      </c>
    </row>
    <row r="367" spans="1:32">
      <c r="A367" t="s">
        <v>1428</v>
      </c>
      <c r="B367" s="1" t="s">
        <v>1429</v>
      </c>
      <c r="C367" s="2">
        <v>46168.877349536997</v>
      </c>
      <c r="D367" s="1" t="s">
        <v>30</v>
      </c>
      <c r="E367" s="1" t="s">
        <v>1312</v>
      </c>
      <c r="F367" s="1" t="s">
        <v>952</v>
      </c>
      <c r="G367" s="3">
        <v>46211</v>
      </c>
      <c r="H367" s="1" t="s">
        <v>1313</v>
      </c>
      <c r="I367" s="1" t="s">
        <v>63</v>
      </c>
      <c r="J367" s="1" t="s">
        <v>35</v>
      </c>
      <c r="K367" s="1" t="s">
        <v>489</v>
      </c>
      <c r="L367" t="s">
        <v>952</v>
      </c>
      <c r="N367" s="3">
        <v>46168</v>
      </c>
      <c r="O367" s="1" t="s">
        <v>30</v>
      </c>
      <c r="P367" s="4">
        <v>120000</v>
      </c>
      <c r="Q367" s="5">
        <v>2</v>
      </c>
      <c r="R367" s="1" t="s">
        <v>38</v>
      </c>
      <c r="T367" s="1" t="s">
        <v>39</v>
      </c>
      <c r="U367" s="4">
        <v>154163.97</v>
      </c>
      <c r="V367" s="5">
        <v>4</v>
      </c>
      <c r="W367" s="5">
        <v>0</v>
      </c>
      <c r="Y367" s="1" t="s">
        <v>72</v>
      </c>
      <c r="Z367" s="3">
        <v>46211</v>
      </c>
      <c r="AA367" s="1" t="s">
        <v>41</v>
      </c>
      <c r="AB367" s="1" t="s">
        <v>42</v>
      </c>
      <c r="AC367" t="b">
        <f t="shared" si="20"/>
        <v>0</v>
      </c>
      <c r="AD367" t="b">
        <f t="shared" si="21"/>
        <v>0</v>
      </c>
      <c r="AE367" t="b">
        <f t="shared" si="22"/>
        <v>0</v>
      </c>
      <c r="AF367" t="b">
        <f t="shared" si="23"/>
        <v>0</v>
      </c>
    </row>
    <row r="368" spans="1:32">
      <c r="A368" t="s">
        <v>1430</v>
      </c>
      <c r="B368" s="1" t="s">
        <v>1431</v>
      </c>
      <c r="C368" s="2">
        <v>46183.492083333302</v>
      </c>
      <c r="D368" s="1" t="s">
        <v>30</v>
      </c>
      <c r="E368" s="1" t="s">
        <v>1432</v>
      </c>
      <c r="F368" s="1" t="s">
        <v>266</v>
      </c>
      <c r="G368" s="3">
        <v>46183</v>
      </c>
      <c r="H368" s="1" t="s">
        <v>1433</v>
      </c>
      <c r="I368" s="1" t="s">
        <v>63</v>
      </c>
      <c r="J368" s="1" t="s">
        <v>64</v>
      </c>
      <c r="K368" s="1" t="s">
        <v>35</v>
      </c>
      <c r="L368" t="s">
        <v>266</v>
      </c>
      <c r="N368" s="3">
        <v>46183</v>
      </c>
      <c r="O368" s="1" t="s">
        <v>30</v>
      </c>
      <c r="P368" s="4">
        <v>120000</v>
      </c>
      <c r="Q368" s="5">
        <v>5</v>
      </c>
      <c r="R368" s="1" t="s">
        <v>38</v>
      </c>
      <c r="T368" s="1" t="s">
        <v>39</v>
      </c>
      <c r="U368" s="4">
        <v>150143.98000000001</v>
      </c>
      <c r="V368" s="5">
        <v>5</v>
      </c>
      <c r="W368" s="5">
        <v>0</v>
      </c>
      <c r="Y368" s="1" t="s">
        <v>72</v>
      </c>
      <c r="Z368" s="3">
        <v>46183</v>
      </c>
      <c r="AA368" s="1" t="s">
        <v>41</v>
      </c>
      <c r="AB368" s="1" t="s">
        <v>42</v>
      </c>
      <c r="AC368" t="b">
        <f t="shared" si="20"/>
        <v>0</v>
      </c>
      <c r="AD368" t="b">
        <f t="shared" si="21"/>
        <v>0</v>
      </c>
      <c r="AE368" t="b">
        <f t="shared" si="22"/>
        <v>0</v>
      </c>
      <c r="AF368" t="b">
        <f t="shared" si="23"/>
        <v>0</v>
      </c>
    </row>
    <row r="369" spans="1:32">
      <c r="A369" t="s">
        <v>1434</v>
      </c>
      <c r="B369" s="1" t="s">
        <v>1435</v>
      </c>
      <c r="C369" s="2">
        <v>46120.6325</v>
      </c>
      <c r="D369" s="1" t="s">
        <v>30</v>
      </c>
      <c r="E369" s="1" t="s">
        <v>1436</v>
      </c>
      <c r="F369" s="1" t="s">
        <v>284</v>
      </c>
      <c r="G369" s="3">
        <v>46113</v>
      </c>
      <c r="H369" s="1" t="s">
        <v>1437</v>
      </c>
      <c r="I369" s="1" t="s">
        <v>34</v>
      </c>
      <c r="J369" s="1" t="s">
        <v>35</v>
      </c>
      <c r="K369" s="1" t="s">
        <v>563</v>
      </c>
      <c r="L369" t="s">
        <v>284</v>
      </c>
      <c r="N369" s="3">
        <v>46120</v>
      </c>
      <c r="O369" s="1" t="s">
        <v>30</v>
      </c>
      <c r="P369" s="4">
        <v>120000</v>
      </c>
      <c r="Q369" s="5">
        <v>1</v>
      </c>
      <c r="R369" s="1" t="s">
        <v>38</v>
      </c>
      <c r="S369" s="5">
        <v>414000</v>
      </c>
      <c r="T369" s="1" t="s">
        <v>39</v>
      </c>
      <c r="U369" s="4">
        <v>150948.06</v>
      </c>
      <c r="Y369" s="1" t="s">
        <v>286</v>
      </c>
      <c r="Z369" s="3">
        <v>46113</v>
      </c>
      <c r="AA369" s="1" t="s">
        <v>41</v>
      </c>
      <c r="AB369" s="1" t="s">
        <v>42</v>
      </c>
      <c r="AC369" t="b">
        <f t="shared" si="20"/>
        <v>0</v>
      </c>
      <c r="AD369" t="b">
        <f t="shared" si="21"/>
        <v>0</v>
      </c>
      <c r="AE369" t="b">
        <f t="shared" si="22"/>
        <v>0</v>
      </c>
      <c r="AF369" t="b">
        <f t="shared" si="23"/>
        <v>0</v>
      </c>
    </row>
    <row r="370" spans="1:32">
      <c r="A370" t="s">
        <v>1438</v>
      </c>
      <c r="B370" s="1" t="s">
        <v>1439</v>
      </c>
      <c r="C370" s="2">
        <v>46162.824629629598</v>
      </c>
      <c r="D370" s="1" t="s">
        <v>30</v>
      </c>
      <c r="E370" s="1" t="s">
        <v>1256</v>
      </c>
      <c r="F370" s="1" t="s">
        <v>952</v>
      </c>
      <c r="G370" s="3">
        <v>46190</v>
      </c>
      <c r="H370" s="1" t="s">
        <v>1440</v>
      </c>
      <c r="I370" s="1" t="s">
        <v>63</v>
      </c>
      <c r="J370" s="1" t="s">
        <v>819</v>
      </c>
      <c r="K370" s="1" t="s">
        <v>35</v>
      </c>
      <c r="L370" t="s">
        <v>952</v>
      </c>
      <c r="N370" s="3">
        <v>46162</v>
      </c>
      <c r="O370" s="1" t="s">
        <v>30</v>
      </c>
      <c r="P370" s="4">
        <v>120000</v>
      </c>
      <c r="Q370" s="5">
        <v>3</v>
      </c>
      <c r="R370" s="1" t="s">
        <v>38</v>
      </c>
      <c r="T370" s="1" t="s">
        <v>39</v>
      </c>
      <c r="U370" s="4">
        <v>153731.98000000001</v>
      </c>
      <c r="V370" s="5">
        <v>4</v>
      </c>
      <c r="W370" s="5">
        <v>0</v>
      </c>
      <c r="Y370" s="1" t="s">
        <v>72</v>
      </c>
      <c r="Z370" s="3">
        <v>46190</v>
      </c>
      <c r="AA370" s="1" t="s">
        <v>41</v>
      </c>
      <c r="AB370" s="1" t="s">
        <v>42</v>
      </c>
      <c r="AC370" t="b">
        <f t="shared" si="20"/>
        <v>0</v>
      </c>
      <c r="AD370" t="b">
        <f t="shared" si="21"/>
        <v>0</v>
      </c>
      <c r="AE370" t="b">
        <f t="shared" si="22"/>
        <v>0</v>
      </c>
      <c r="AF370" t="b">
        <f t="shared" si="23"/>
        <v>0</v>
      </c>
    </row>
    <row r="371" spans="1:32">
      <c r="A371" t="s">
        <v>1441</v>
      </c>
      <c r="B371" s="1" t="s">
        <v>1442</v>
      </c>
      <c r="C371" s="2">
        <v>46099.721388888902</v>
      </c>
      <c r="D371" s="1" t="s">
        <v>30</v>
      </c>
      <c r="E371" s="1" t="s">
        <v>1328</v>
      </c>
      <c r="F371" s="1" t="s">
        <v>652</v>
      </c>
      <c r="G371" s="3">
        <v>46099</v>
      </c>
      <c r="H371" s="1" t="s">
        <v>1329</v>
      </c>
      <c r="I371" s="1" t="s">
        <v>34</v>
      </c>
      <c r="J371" s="1" t="s">
        <v>35</v>
      </c>
      <c r="K371" s="1" t="s">
        <v>1443</v>
      </c>
      <c r="L371" t="s">
        <v>652</v>
      </c>
      <c r="N371" s="3">
        <v>46099</v>
      </c>
      <c r="O371" s="1" t="s">
        <v>30</v>
      </c>
      <c r="P371" s="4">
        <v>120171</v>
      </c>
      <c r="Q371" s="5">
        <v>5</v>
      </c>
      <c r="R371" s="1" t="s">
        <v>38</v>
      </c>
      <c r="S371" s="5">
        <v>1800</v>
      </c>
      <c r="T371" s="1" t="s">
        <v>39</v>
      </c>
      <c r="U371" s="4">
        <v>149240.34</v>
      </c>
      <c r="Y371" s="1" t="s">
        <v>58</v>
      </c>
      <c r="Z371" s="3">
        <v>46099</v>
      </c>
      <c r="AA371" s="1" t="s">
        <v>41</v>
      </c>
      <c r="AB371" s="1" t="s">
        <v>42</v>
      </c>
      <c r="AC371" t="b">
        <f t="shared" si="20"/>
        <v>0</v>
      </c>
      <c r="AD371" t="b">
        <f t="shared" si="21"/>
        <v>0</v>
      </c>
      <c r="AE371" t="b">
        <f t="shared" si="22"/>
        <v>0</v>
      </c>
      <c r="AF371" t="b">
        <f t="shared" si="23"/>
        <v>0</v>
      </c>
    </row>
    <row r="372" spans="1:32">
      <c r="A372" t="s">
        <v>1444</v>
      </c>
      <c r="B372" s="1" t="s">
        <v>1445</v>
      </c>
      <c r="C372" s="2">
        <v>46076.919479166703</v>
      </c>
      <c r="D372" s="1" t="s">
        <v>30</v>
      </c>
      <c r="E372" s="1" t="s">
        <v>1446</v>
      </c>
      <c r="F372" s="1" t="s">
        <v>274</v>
      </c>
      <c r="G372" s="3">
        <v>46082</v>
      </c>
      <c r="H372" s="1" t="s">
        <v>1447</v>
      </c>
      <c r="I372" s="1" t="s">
        <v>1448</v>
      </c>
      <c r="J372" s="1" t="s">
        <v>1202</v>
      </c>
      <c r="K372" s="1" t="s">
        <v>244</v>
      </c>
      <c r="L372" t="s">
        <v>274</v>
      </c>
      <c r="M372" s="1" t="s">
        <v>37</v>
      </c>
      <c r="N372" s="3">
        <v>46076</v>
      </c>
      <c r="O372" s="1" t="s">
        <v>30</v>
      </c>
      <c r="P372" s="4">
        <v>120427</v>
      </c>
      <c r="Q372" s="5">
        <v>1</v>
      </c>
      <c r="R372" s="1" t="s">
        <v>38</v>
      </c>
      <c r="S372" s="5">
        <v>0</v>
      </c>
      <c r="T372" s="1" t="s">
        <v>39</v>
      </c>
      <c r="U372" s="4">
        <v>147342.42000000001</v>
      </c>
      <c r="V372" s="5">
        <v>2</v>
      </c>
      <c r="W372" s="5">
        <v>0</v>
      </c>
      <c r="Y372" s="1" t="s">
        <v>72</v>
      </c>
      <c r="Z372" s="3">
        <v>46082</v>
      </c>
      <c r="AA372" s="1" t="s">
        <v>41</v>
      </c>
      <c r="AB372" s="1" t="s">
        <v>42</v>
      </c>
      <c r="AC372" t="b">
        <f t="shared" si="20"/>
        <v>0</v>
      </c>
      <c r="AD372" t="b">
        <f t="shared" si="21"/>
        <v>0</v>
      </c>
      <c r="AE372" t="b">
        <f t="shared" si="22"/>
        <v>0</v>
      </c>
      <c r="AF372" t="b">
        <f t="shared" si="23"/>
        <v>0</v>
      </c>
    </row>
    <row r="373" spans="1:32">
      <c r="A373" t="s">
        <v>1449</v>
      </c>
      <c r="B373" s="1" t="s">
        <v>1450</v>
      </c>
      <c r="C373" s="2">
        <v>46099.925636574102</v>
      </c>
      <c r="D373" s="1" t="s">
        <v>30</v>
      </c>
      <c r="E373" s="1" t="s">
        <v>273</v>
      </c>
      <c r="F373" s="1" t="s">
        <v>274</v>
      </c>
      <c r="G373" s="3">
        <v>46143</v>
      </c>
      <c r="H373" s="1" t="s">
        <v>862</v>
      </c>
      <c r="I373" s="1" t="s">
        <v>34</v>
      </c>
      <c r="J373" s="1" t="s">
        <v>244</v>
      </c>
      <c r="K373" s="1" t="s">
        <v>35</v>
      </c>
      <c r="L373" t="s">
        <v>274</v>
      </c>
      <c r="M373" s="1" t="s">
        <v>45</v>
      </c>
      <c r="N373" s="3">
        <v>46099</v>
      </c>
      <c r="O373" s="1" t="s">
        <v>30</v>
      </c>
      <c r="P373" s="4">
        <v>126420</v>
      </c>
      <c r="Q373" s="5">
        <v>54</v>
      </c>
      <c r="R373" s="1" t="s">
        <v>38</v>
      </c>
      <c r="S373" s="5">
        <v>22000</v>
      </c>
      <c r="T373" s="1" t="s">
        <v>39</v>
      </c>
      <c r="U373" s="4">
        <v>157000.97</v>
      </c>
      <c r="Y373" s="1" t="s">
        <v>72</v>
      </c>
      <c r="Z373" s="3">
        <v>46143</v>
      </c>
      <c r="AA373" s="1" t="s">
        <v>41</v>
      </c>
      <c r="AB373" s="1" t="s">
        <v>42</v>
      </c>
      <c r="AC373" t="b">
        <f t="shared" si="20"/>
        <v>0</v>
      </c>
      <c r="AD373" t="b">
        <f t="shared" si="21"/>
        <v>0</v>
      </c>
      <c r="AE373" t="b">
        <f t="shared" si="22"/>
        <v>0</v>
      </c>
      <c r="AF373" t="b">
        <f t="shared" si="23"/>
        <v>0</v>
      </c>
    </row>
    <row r="374" spans="1:32">
      <c r="A374" t="s">
        <v>1451</v>
      </c>
      <c r="B374" s="1" t="s">
        <v>1452</v>
      </c>
      <c r="C374" s="2">
        <v>46080.597824074102</v>
      </c>
      <c r="D374" s="1" t="s">
        <v>30</v>
      </c>
      <c r="E374" s="1" t="s">
        <v>1453</v>
      </c>
      <c r="F374" s="1" t="s">
        <v>266</v>
      </c>
      <c r="G374" s="3">
        <v>46080</v>
      </c>
      <c r="H374" s="1" t="s">
        <v>1454</v>
      </c>
      <c r="I374" s="1" t="s">
        <v>34</v>
      </c>
      <c r="J374" s="1" t="s">
        <v>64</v>
      </c>
      <c r="K374" s="1" t="s">
        <v>35</v>
      </c>
      <c r="L374" t="s">
        <v>266</v>
      </c>
      <c r="N374" s="3">
        <v>46080</v>
      </c>
      <c r="O374" s="1" t="s">
        <v>30</v>
      </c>
      <c r="P374" s="4">
        <v>130000</v>
      </c>
      <c r="Q374" s="5">
        <v>100</v>
      </c>
      <c r="R374" s="1" t="s">
        <v>38</v>
      </c>
      <c r="S374" s="5">
        <v>110000</v>
      </c>
      <c r="T374" s="1" t="s">
        <v>39</v>
      </c>
      <c r="U374" s="4">
        <v>160406.96</v>
      </c>
      <c r="Y374" s="1" t="s">
        <v>72</v>
      </c>
      <c r="Z374" s="3">
        <v>46080</v>
      </c>
      <c r="AA374" s="1" t="s">
        <v>41</v>
      </c>
      <c r="AB374" s="1" t="s">
        <v>42</v>
      </c>
      <c r="AC374" t="b">
        <f t="shared" si="20"/>
        <v>1</v>
      </c>
      <c r="AD374" t="b">
        <f t="shared" si="21"/>
        <v>0</v>
      </c>
      <c r="AE374" t="b">
        <f t="shared" si="22"/>
        <v>0</v>
      </c>
      <c r="AF374" t="b">
        <f t="shared" si="23"/>
        <v>0</v>
      </c>
    </row>
    <row r="375" spans="1:32">
      <c r="A375" t="s">
        <v>1455</v>
      </c>
      <c r="B375" s="1" t="s">
        <v>1456</v>
      </c>
      <c r="C375" s="2">
        <v>46140.753263888902</v>
      </c>
      <c r="D375" s="1" t="s">
        <v>30</v>
      </c>
      <c r="E375" s="1" t="s">
        <v>1316</v>
      </c>
      <c r="F375" s="1" t="s">
        <v>1317</v>
      </c>
      <c r="G375" s="3">
        <v>46143</v>
      </c>
      <c r="H375" s="1" t="s">
        <v>1457</v>
      </c>
      <c r="I375" s="1" t="s">
        <v>34</v>
      </c>
      <c r="J375" s="1" t="s">
        <v>57</v>
      </c>
      <c r="K375" s="1" t="s">
        <v>35</v>
      </c>
      <c r="L375" t="s">
        <v>1317</v>
      </c>
      <c r="M375" s="1" t="s">
        <v>45</v>
      </c>
      <c r="N375" s="3">
        <v>46140</v>
      </c>
      <c r="O375" s="1" t="s">
        <v>30</v>
      </c>
      <c r="P375" s="4">
        <v>130000</v>
      </c>
      <c r="Q375" s="5">
        <v>30</v>
      </c>
      <c r="R375" s="1" t="s">
        <v>38</v>
      </c>
      <c r="S375" s="5">
        <v>8000</v>
      </c>
      <c r="T375" s="1" t="s">
        <v>39</v>
      </c>
      <c r="U375" s="4">
        <v>166088</v>
      </c>
      <c r="Y375" s="1" t="s">
        <v>961</v>
      </c>
      <c r="Z375" s="3">
        <v>46143</v>
      </c>
      <c r="AA375" s="1" t="s">
        <v>41</v>
      </c>
      <c r="AB375" s="1" t="s">
        <v>42</v>
      </c>
      <c r="AC375" t="b">
        <f t="shared" si="20"/>
        <v>1</v>
      </c>
      <c r="AD375" t="b">
        <f t="shared" si="21"/>
        <v>0</v>
      </c>
      <c r="AE375" t="b">
        <f t="shared" si="22"/>
        <v>0</v>
      </c>
      <c r="AF375" t="b">
        <f t="shared" si="23"/>
        <v>0</v>
      </c>
    </row>
    <row r="376" spans="1:32">
      <c r="A376" t="s">
        <v>1458</v>
      </c>
      <c r="B376" s="1" t="s">
        <v>1459</v>
      </c>
      <c r="C376" s="2">
        <v>46181.718472222201</v>
      </c>
      <c r="D376" s="1" t="s">
        <v>30</v>
      </c>
      <c r="E376" s="1" t="s">
        <v>1460</v>
      </c>
      <c r="F376" s="1" t="s">
        <v>952</v>
      </c>
      <c r="H376" s="1" t="s">
        <v>1461</v>
      </c>
      <c r="I376" s="1" t="s">
        <v>34</v>
      </c>
      <c r="J376" s="1" t="s">
        <v>244</v>
      </c>
      <c r="K376" s="1" t="s">
        <v>35</v>
      </c>
      <c r="L376" t="s">
        <v>952</v>
      </c>
      <c r="O376" s="1" t="s">
        <v>30</v>
      </c>
      <c r="P376" s="4">
        <v>140000</v>
      </c>
      <c r="Q376" s="5">
        <v>12</v>
      </c>
      <c r="S376" s="5">
        <v>900</v>
      </c>
      <c r="T376" s="1" t="s">
        <v>39</v>
      </c>
      <c r="U376" s="4">
        <v>176119.94</v>
      </c>
      <c r="Y376" s="1" t="s">
        <v>72</v>
      </c>
      <c r="Z376" s="3">
        <v>46288</v>
      </c>
      <c r="AA376" s="1" t="s">
        <v>79</v>
      </c>
      <c r="AB376" s="1" t="s">
        <v>80</v>
      </c>
      <c r="AC376" t="b">
        <f t="shared" si="20"/>
        <v>0</v>
      </c>
      <c r="AD376" t="b">
        <f t="shared" si="21"/>
        <v>0</v>
      </c>
      <c r="AE376" t="b">
        <f t="shared" si="22"/>
        <v>0</v>
      </c>
      <c r="AF376" t="b">
        <f t="shared" si="23"/>
        <v>0</v>
      </c>
    </row>
    <row r="377" spans="1:32">
      <c r="A377" t="s">
        <v>1462</v>
      </c>
      <c r="B377" s="1" t="s">
        <v>1463</v>
      </c>
      <c r="C377" s="2">
        <v>46080.526516203703</v>
      </c>
      <c r="D377" s="1" t="s">
        <v>30</v>
      </c>
      <c r="E377" s="1" t="s">
        <v>1050</v>
      </c>
      <c r="F377" s="1" t="s">
        <v>101</v>
      </c>
      <c r="G377" s="3">
        <v>46080</v>
      </c>
      <c r="H377" s="1" t="s">
        <v>1464</v>
      </c>
      <c r="I377" s="1" t="s">
        <v>34</v>
      </c>
      <c r="J377" s="1" t="s">
        <v>324</v>
      </c>
      <c r="K377" s="1" t="s">
        <v>35</v>
      </c>
      <c r="L377" t="s">
        <v>101</v>
      </c>
      <c r="N377" s="3">
        <v>46080</v>
      </c>
      <c r="O377" s="1" t="s">
        <v>30</v>
      </c>
      <c r="P377" s="4">
        <v>140421.01</v>
      </c>
      <c r="Q377" s="5">
        <v>30</v>
      </c>
      <c r="R377" s="1" t="s">
        <v>38</v>
      </c>
      <c r="S377" s="5">
        <v>500</v>
      </c>
      <c r="T377" s="1" t="s">
        <v>39</v>
      </c>
      <c r="U377" s="4">
        <v>173265.44</v>
      </c>
      <c r="Y377" s="1" t="s">
        <v>72</v>
      </c>
      <c r="Z377" s="3">
        <v>46080</v>
      </c>
      <c r="AA377" s="1" t="s">
        <v>41</v>
      </c>
      <c r="AB377" s="1" t="s">
        <v>42</v>
      </c>
      <c r="AC377" t="b">
        <f t="shared" si="20"/>
        <v>0</v>
      </c>
      <c r="AD377" t="b">
        <f t="shared" si="21"/>
        <v>0</v>
      </c>
      <c r="AE377" t="b">
        <f t="shared" si="22"/>
        <v>0</v>
      </c>
      <c r="AF377" t="b">
        <f t="shared" si="23"/>
        <v>0</v>
      </c>
    </row>
    <row r="378" spans="1:32">
      <c r="A378" t="s">
        <v>1465</v>
      </c>
      <c r="B378" s="1" t="s">
        <v>1466</v>
      </c>
      <c r="C378" s="2">
        <v>46140.9144675926</v>
      </c>
      <c r="D378" s="1" t="s">
        <v>30</v>
      </c>
      <c r="E378" s="1" t="s">
        <v>931</v>
      </c>
      <c r="F378" s="1" t="s">
        <v>200</v>
      </c>
      <c r="G378" s="3">
        <v>46140</v>
      </c>
      <c r="H378" s="1" t="s">
        <v>932</v>
      </c>
      <c r="I378" s="1" t="s">
        <v>34</v>
      </c>
      <c r="J378" s="1" t="s">
        <v>35</v>
      </c>
      <c r="K378" s="1" t="s">
        <v>244</v>
      </c>
      <c r="L378" t="s">
        <v>200</v>
      </c>
      <c r="M378" s="1" t="s">
        <v>45</v>
      </c>
      <c r="N378" s="3">
        <v>46140</v>
      </c>
      <c r="O378" s="1" t="s">
        <v>30</v>
      </c>
      <c r="P378" s="4">
        <v>146000</v>
      </c>
      <c r="Q378" s="5">
        <v>1</v>
      </c>
      <c r="R378" s="1" t="s">
        <v>38</v>
      </c>
      <c r="S378" s="5">
        <v>5880</v>
      </c>
      <c r="T378" s="1" t="s">
        <v>39</v>
      </c>
      <c r="U378" s="4">
        <v>186529.6</v>
      </c>
      <c r="Y378" s="1" t="s">
        <v>40</v>
      </c>
      <c r="Z378" s="3">
        <v>46140</v>
      </c>
      <c r="AA378" s="1" t="s">
        <v>41</v>
      </c>
      <c r="AB378" s="1" t="s">
        <v>208</v>
      </c>
      <c r="AC378" t="b">
        <f t="shared" si="20"/>
        <v>0</v>
      </c>
      <c r="AD378" t="b">
        <f t="shared" si="21"/>
        <v>0</v>
      </c>
      <c r="AE378" t="b">
        <f t="shared" si="22"/>
        <v>0</v>
      </c>
      <c r="AF378" t="b">
        <f t="shared" si="23"/>
        <v>0</v>
      </c>
    </row>
    <row r="379" spans="1:32">
      <c r="A379" t="s">
        <v>1467</v>
      </c>
      <c r="B379" s="1" t="s">
        <v>1468</v>
      </c>
      <c r="C379" s="2">
        <v>46164.498599537001</v>
      </c>
      <c r="D379" s="1" t="s">
        <v>30</v>
      </c>
      <c r="E379" s="1" t="s">
        <v>1469</v>
      </c>
      <c r="F379" s="1" t="s">
        <v>533</v>
      </c>
      <c r="H379" s="1" t="s">
        <v>1470</v>
      </c>
      <c r="I379" s="1" t="s">
        <v>34</v>
      </c>
      <c r="J379" s="1" t="s">
        <v>35</v>
      </c>
      <c r="K379" s="1" t="s">
        <v>627</v>
      </c>
      <c r="L379" t="s">
        <v>443</v>
      </c>
      <c r="O379" s="1" t="s">
        <v>30</v>
      </c>
      <c r="P379" s="4">
        <v>150000</v>
      </c>
      <c r="Q379" s="5">
        <v>12</v>
      </c>
      <c r="S379" s="5">
        <v>1000</v>
      </c>
      <c r="T379" s="1" t="s">
        <v>1471</v>
      </c>
      <c r="U379" s="4">
        <v>58064.99</v>
      </c>
      <c r="Z379" s="3">
        <v>46203</v>
      </c>
      <c r="AA379" s="1" t="s">
        <v>237</v>
      </c>
      <c r="AB379" s="1" t="s">
        <v>238</v>
      </c>
      <c r="AC379" t="b">
        <f t="shared" si="20"/>
        <v>0</v>
      </c>
      <c r="AD379" t="b">
        <f t="shared" si="21"/>
        <v>0</v>
      </c>
      <c r="AE379" t="b">
        <f t="shared" si="22"/>
        <v>0</v>
      </c>
      <c r="AF379" t="b">
        <f t="shared" si="23"/>
        <v>0</v>
      </c>
    </row>
    <row r="380" spans="1:32">
      <c r="A380" t="s">
        <v>1472</v>
      </c>
      <c r="B380" s="1" t="s">
        <v>1473</v>
      </c>
      <c r="C380" s="2">
        <v>46168.877337963</v>
      </c>
      <c r="D380" s="1" t="s">
        <v>30</v>
      </c>
      <c r="E380" s="1" t="s">
        <v>1312</v>
      </c>
      <c r="F380" s="1" t="s">
        <v>952</v>
      </c>
      <c r="G380" s="3">
        <v>46211</v>
      </c>
      <c r="H380" s="1" t="s">
        <v>1313</v>
      </c>
      <c r="I380" s="1" t="s">
        <v>63</v>
      </c>
      <c r="J380" s="1" t="s">
        <v>35</v>
      </c>
      <c r="K380" s="1" t="s">
        <v>1474</v>
      </c>
      <c r="L380" t="s">
        <v>952</v>
      </c>
      <c r="N380" s="3">
        <v>46168</v>
      </c>
      <c r="O380" s="1" t="s">
        <v>30</v>
      </c>
      <c r="P380" s="4">
        <v>150000</v>
      </c>
      <c r="Q380" s="5">
        <v>3</v>
      </c>
      <c r="R380" s="1" t="s">
        <v>38</v>
      </c>
      <c r="T380" s="1" t="s">
        <v>39</v>
      </c>
      <c r="U380" s="4">
        <v>192704.97</v>
      </c>
      <c r="V380" s="5">
        <v>6</v>
      </c>
      <c r="W380" s="5">
        <v>0</v>
      </c>
      <c r="Y380" s="1" t="s">
        <v>72</v>
      </c>
      <c r="Z380" s="3">
        <v>46211</v>
      </c>
      <c r="AA380" s="1" t="s">
        <v>41</v>
      </c>
      <c r="AB380" s="1" t="s">
        <v>42</v>
      </c>
      <c r="AC380" t="b">
        <f t="shared" si="20"/>
        <v>0</v>
      </c>
      <c r="AD380" t="b">
        <f t="shared" si="21"/>
        <v>0</v>
      </c>
      <c r="AE380" t="b">
        <f t="shared" si="22"/>
        <v>0</v>
      </c>
      <c r="AF380" t="b">
        <f t="shared" si="23"/>
        <v>0</v>
      </c>
    </row>
    <row r="381" spans="1:32">
      <c r="A381" t="s">
        <v>1475</v>
      </c>
      <c r="B381" s="1" t="s">
        <v>1476</v>
      </c>
      <c r="C381" s="2">
        <v>46051.565648148098</v>
      </c>
      <c r="D381" s="1" t="s">
        <v>30</v>
      </c>
      <c r="E381" s="1" t="s">
        <v>1477</v>
      </c>
      <c r="F381" s="1" t="s">
        <v>1317</v>
      </c>
      <c r="G381" s="3">
        <v>46029</v>
      </c>
      <c r="H381" s="1" t="s">
        <v>1478</v>
      </c>
      <c r="I381" s="1" t="s">
        <v>63</v>
      </c>
      <c r="J381" s="1" t="s">
        <v>78</v>
      </c>
      <c r="K381" s="1" t="s">
        <v>35</v>
      </c>
      <c r="L381" t="s">
        <v>1317</v>
      </c>
      <c r="M381" s="1" t="s">
        <v>45</v>
      </c>
      <c r="N381" s="3">
        <v>46051</v>
      </c>
      <c r="O381" s="1" t="s">
        <v>30</v>
      </c>
      <c r="P381" s="4">
        <v>150000</v>
      </c>
      <c r="Q381" s="5">
        <v>15</v>
      </c>
      <c r="R381" s="1" t="s">
        <v>38</v>
      </c>
      <c r="T381" s="1" t="s">
        <v>39</v>
      </c>
      <c r="U381" s="4">
        <v>180539.96</v>
      </c>
      <c r="V381" s="5">
        <v>2</v>
      </c>
      <c r="W381" s="5">
        <v>300</v>
      </c>
      <c r="Y381" s="1" t="s">
        <v>961</v>
      </c>
      <c r="Z381" s="3">
        <v>46029</v>
      </c>
      <c r="AA381" s="1" t="s">
        <v>41</v>
      </c>
      <c r="AB381" s="1" t="s">
        <v>42</v>
      </c>
      <c r="AC381" t="b">
        <f t="shared" si="20"/>
        <v>0</v>
      </c>
      <c r="AD381" t="b">
        <f t="shared" si="21"/>
        <v>0</v>
      </c>
      <c r="AE381" t="b">
        <f t="shared" si="22"/>
        <v>0</v>
      </c>
      <c r="AF381" t="b">
        <f t="shared" si="23"/>
        <v>0</v>
      </c>
    </row>
    <row r="382" spans="1:32">
      <c r="A382" t="s">
        <v>1479</v>
      </c>
      <c r="B382" s="1" t="s">
        <v>1480</v>
      </c>
      <c r="C382" s="2">
        <v>46164.498587962997</v>
      </c>
      <c r="D382" s="1" t="s">
        <v>30</v>
      </c>
      <c r="E382" s="1" t="s">
        <v>1469</v>
      </c>
      <c r="F382" s="1" t="s">
        <v>533</v>
      </c>
      <c r="H382" s="1" t="s">
        <v>1470</v>
      </c>
      <c r="I382" s="1" t="s">
        <v>34</v>
      </c>
      <c r="J382" s="1" t="s">
        <v>35</v>
      </c>
      <c r="K382" s="1" t="s">
        <v>36</v>
      </c>
      <c r="L382" t="s">
        <v>443</v>
      </c>
      <c r="O382" s="1" t="s">
        <v>30</v>
      </c>
      <c r="P382" s="4">
        <v>150000</v>
      </c>
      <c r="Q382" s="5">
        <v>12</v>
      </c>
      <c r="S382" s="5">
        <v>1000</v>
      </c>
      <c r="T382" s="1" t="s">
        <v>1471</v>
      </c>
      <c r="U382" s="4">
        <v>58034.99</v>
      </c>
      <c r="Z382" s="3">
        <v>46203</v>
      </c>
      <c r="AA382" s="1" t="s">
        <v>237</v>
      </c>
      <c r="AB382" s="1" t="s">
        <v>238</v>
      </c>
      <c r="AC382" t="b">
        <f t="shared" si="20"/>
        <v>0</v>
      </c>
      <c r="AD382" t="b">
        <f t="shared" si="21"/>
        <v>0</v>
      </c>
      <c r="AE382" t="b">
        <f t="shared" si="22"/>
        <v>0</v>
      </c>
      <c r="AF382" t="b">
        <f t="shared" si="23"/>
        <v>0</v>
      </c>
    </row>
    <row r="383" spans="1:32">
      <c r="A383" t="s">
        <v>1481</v>
      </c>
      <c r="B383" s="1" t="s">
        <v>1482</v>
      </c>
      <c r="C383" s="2">
        <v>46142.8187847222</v>
      </c>
      <c r="D383" s="1" t="s">
        <v>30</v>
      </c>
      <c r="E383" s="1" t="s">
        <v>1483</v>
      </c>
      <c r="F383" s="1" t="s">
        <v>636</v>
      </c>
      <c r="G383" s="3">
        <v>46142</v>
      </c>
      <c r="H383" s="1" t="s">
        <v>1484</v>
      </c>
      <c r="I383" s="1" t="s">
        <v>63</v>
      </c>
      <c r="J383" s="1" t="s">
        <v>35</v>
      </c>
      <c r="K383" s="1" t="s">
        <v>280</v>
      </c>
      <c r="L383" t="s">
        <v>636</v>
      </c>
      <c r="M383" s="1" t="s">
        <v>45</v>
      </c>
      <c r="N383" s="3">
        <v>46142</v>
      </c>
      <c r="O383" s="1" t="s">
        <v>30</v>
      </c>
      <c r="P383" s="4">
        <v>150000</v>
      </c>
      <c r="Q383" s="5">
        <v>20</v>
      </c>
      <c r="R383" s="1" t="s">
        <v>38</v>
      </c>
      <c r="T383" s="1" t="s">
        <v>39</v>
      </c>
      <c r="U383" s="4">
        <v>192195.06</v>
      </c>
      <c r="V383" s="5">
        <v>2</v>
      </c>
      <c r="W383" s="5">
        <v>300</v>
      </c>
      <c r="Y383" s="1" t="s">
        <v>58</v>
      </c>
      <c r="Z383" s="3">
        <v>46142</v>
      </c>
      <c r="AA383" s="1" t="s">
        <v>41</v>
      </c>
      <c r="AB383" s="1" t="s">
        <v>42</v>
      </c>
      <c r="AC383" t="b">
        <f t="shared" si="20"/>
        <v>0</v>
      </c>
      <c r="AD383" t="b">
        <f t="shared" si="21"/>
        <v>0</v>
      </c>
      <c r="AE383" t="b">
        <f t="shared" si="22"/>
        <v>0</v>
      </c>
      <c r="AF383" t="b">
        <f t="shared" si="23"/>
        <v>0</v>
      </c>
    </row>
    <row r="384" spans="1:32">
      <c r="A384" t="s">
        <v>1485</v>
      </c>
      <c r="B384" s="1" t="s">
        <v>1486</v>
      </c>
      <c r="C384" s="2">
        <v>46153.716747685197</v>
      </c>
      <c r="D384" s="1" t="s">
        <v>30</v>
      </c>
      <c r="E384" s="1" t="s">
        <v>1487</v>
      </c>
      <c r="F384" s="1" t="s">
        <v>1317</v>
      </c>
      <c r="G384" s="3">
        <v>46154</v>
      </c>
      <c r="H384" s="1" t="s">
        <v>1488</v>
      </c>
      <c r="I384" s="1" t="s">
        <v>63</v>
      </c>
      <c r="J384" s="1" t="s">
        <v>202</v>
      </c>
      <c r="K384" s="1" t="s">
        <v>35</v>
      </c>
      <c r="L384" t="s">
        <v>1317</v>
      </c>
      <c r="M384" s="1" t="s">
        <v>45</v>
      </c>
      <c r="N384" s="3">
        <v>46153</v>
      </c>
      <c r="O384" s="1" t="s">
        <v>30</v>
      </c>
      <c r="P384" s="4">
        <v>150000</v>
      </c>
      <c r="Q384" s="5">
        <v>15</v>
      </c>
      <c r="R384" s="1" t="s">
        <v>38</v>
      </c>
      <c r="T384" s="1" t="s">
        <v>39</v>
      </c>
      <c r="U384" s="4">
        <v>194415.02</v>
      </c>
      <c r="V384" s="5">
        <v>0</v>
      </c>
      <c r="W384" s="5">
        <v>150</v>
      </c>
      <c r="Y384" s="1" t="s">
        <v>961</v>
      </c>
      <c r="Z384" s="3">
        <v>46154</v>
      </c>
      <c r="AA384" s="1" t="s">
        <v>41</v>
      </c>
      <c r="AB384" s="1" t="s">
        <v>42</v>
      </c>
      <c r="AC384" t="b">
        <f t="shared" si="20"/>
        <v>0</v>
      </c>
      <c r="AD384" t="b">
        <f t="shared" si="21"/>
        <v>0</v>
      </c>
      <c r="AE384" t="b">
        <f t="shared" si="22"/>
        <v>0</v>
      </c>
      <c r="AF384" t="b">
        <f t="shared" si="23"/>
        <v>0</v>
      </c>
    </row>
    <row r="385" spans="1:32">
      <c r="A385" t="s">
        <v>1489</v>
      </c>
      <c r="B385" s="1" t="s">
        <v>1490</v>
      </c>
      <c r="C385" s="2">
        <v>46164.498611111099</v>
      </c>
      <c r="D385" s="1" t="s">
        <v>30</v>
      </c>
      <c r="E385" s="1" t="s">
        <v>1469</v>
      </c>
      <c r="F385" s="1" t="s">
        <v>443</v>
      </c>
      <c r="H385" s="1" t="s">
        <v>1470</v>
      </c>
      <c r="I385" s="1" t="s">
        <v>34</v>
      </c>
      <c r="J385" s="1" t="s">
        <v>35</v>
      </c>
      <c r="K385" s="1" t="s">
        <v>1491</v>
      </c>
      <c r="L385" t="s">
        <v>443</v>
      </c>
      <c r="O385" s="1" t="s">
        <v>30</v>
      </c>
      <c r="P385" s="4">
        <v>150000</v>
      </c>
      <c r="Q385" s="5">
        <v>12</v>
      </c>
      <c r="S385" s="5">
        <v>1000</v>
      </c>
      <c r="T385" s="1" t="s">
        <v>1471</v>
      </c>
      <c r="U385" s="4">
        <v>58170.02</v>
      </c>
      <c r="Y385" s="1" t="s">
        <v>72</v>
      </c>
      <c r="Z385" s="3">
        <v>46203</v>
      </c>
      <c r="AA385" s="1" t="s">
        <v>237</v>
      </c>
      <c r="AB385" s="1" t="s">
        <v>238</v>
      </c>
      <c r="AC385" t="b">
        <f t="shared" si="20"/>
        <v>0</v>
      </c>
      <c r="AD385" t="b">
        <f t="shared" si="21"/>
        <v>0</v>
      </c>
      <c r="AE385" t="b">
        <f t="shared" si="22"/>
        <v>0</v>
      </c>
      <c r="AF385" t="b">
        <f t="shared" si="23"/>
        <v>0</v>
      </c>
    </row>
    <row r="386" spans="1:32">
      <c r="A386" t="s">
        <v>1492</v>
      </c>
      <c r="B386" s="1" t="s">
        <v>1493</v>
      </c>
      <c r="C386" s="2">
        <v>46069.603425925903</v>
      </c>
      <c r="D386" s="1" t="s">
        <v>30</v>
      </c>
      <c r="E386" s="1" t="s">
        <v>1494</v>
      </c>
      <c r="F386" s="1" t="s">
        <v>1317</v>
      </c>
      <c r="G386" s="3">
        <v>46072</v>
      </c>
      <c r="H386" s="1" t="s">
        <v>1495</v>
      </c>
      <c r="I386" s="1" t="s">
        <v>63</v>
      </c>
      <c r="J386" s="1" t="s">
        <v>64</v>
      </c>
      <c r="K386" s="1" t="s">
        <v>35</v>
      </c>
      <c r="L386" t="s">
        <v>1317</v>
      </c>
      <c r="M386" s="1" t="s">
        <v>45</v>
      </c>
      <c r="N386" s="3">
        <v>46069</v>
      </c>
      <c r="O386" s="1" t="s">
        <v>30</v>
      </c>
      <c r="P386" s="4">
        <v>150000</v>
      </c>
      <c r="Q386" s="5">
        <v>10</v>
      </c>
      <c r="R386" s="1" t="s">
        <v>65</v>
      </c>
      <c r="T386" s="1" t="s">
        <v>39</v>
      </c>
      <c r="U386" s="4">
        <v>181079.98</v>
      </c>
      <c r="V386" s="5">
        <v>10</v>
      </c>
      <c r="W386" s="5">
        <v>90</v>
      </c>
      <c r="Y386" s="1" t="s">
        <v>961</v>
      </c>
      <c r="Z386" s="3">
        <v>46072</v>
      </c>
      <c r="AA386" s="1" t="s">
        <v>41</v>
      </c>
      <c r="AB386" s="1" t="s">
        <v>42</v>
      </c>
      <c r="AC386" t="b">
        <f t="shared" ref="AC386:AC449" si="24">ISNUMBER( SEARCH("HOT",H386))</f>
        <v>0</v>
      </c>
      <c r="AD386" t="b">
        <f t="shared" ref="AD386:AD449" si="25">ISNUMBER( SEARCH("COMM",H386))</f>
        <v>0</v>
      </c>
      <c r="AE386" t="b">
        <f t="shared" ref="AE386:AE449" si="26">ISNUMBER( SEARCH("REEFER",H386))</f>
        <v>0</v>
      </c>
      <c r="AF386" t="b">
        <f t="shared" ref="AF386:AF449" si="27">ISNUMBER( SEARCH("P01",H386))</f>
        <v>0</v>
      </c>
    </row>
    <row r="387" spans="1:32">
      <c r="A387" t="s">
        <v>1496</v>
      </c>
      <c r="B387" s="1" t="s">
        <v>1497</v>
      </c>
      <c r="C387" s="2">
        <v>46182.5569791667</v>
      </c>
      <c r="D387" s="1" t="s">
        <v>30</v>
      </c>
      <c r="E387" s="1" t="s">
        <v>1498</v>
      </c>
      <c r="F387" s="1" t="s">
        <v>1003</v>
      </c>
      <c r="G387" s="3">
        <v>46182</v>
      </c>
      <c r="H387" s="1" t="s">
        <v>1499</v>
      </c>
      <c r="I387" s="1" t="s">
        <v>63</v>
      </c>
      <c r="J387" s="1" t="s">
        <v>35</v>
      </c>
      <c r="K387" s="1" t="s">
        <v>1500</v>
      </c>
      <c r="L387" t="s">
        <v>1003</v>
      </c>
      <c r="M387" s="1" t="s">
        <v>45</v>
      </c>
      <c r="N387" s="3">
        <v>46182</v>
      </c>
      <c r="O387" s="1" t="s">
        <v>30</v>
      </c>
      <c r="P387" s="4">
        <v>150000</v>
      </c>
      <c r="Q387" s="5">
        <v>8</v>
      </c>
      <c r="R387" s="1" t="s">
        <v>38</v>
      </c>
      <c r="T387" s="1" t="s">
        <v>39</v>
      </c>
      <c r="U387" s="4">
        <v>188699.93</v>
      </c>
      <c r="V387" s="5">
        <v>16</v>
      </c>
      <c r="W387" s="5">
        <v>0</v>
      </c>
      <c r="Y387" s="1" t="s">
        <v>227</v>
      </c>
      <c r="Z387" s="3">
        <v>46182</v>
      </c>
      <c r="AA387" s="1" t="s">
        <v>41</v>
      </c>
      <c r="AB387" s="1" t="s">
        <v>42</v>
      </c>
      <c r="AC387" t="b">
        <f t="shared" si="24"/>
        <v>0</v>
      </c>
      <c r="AD387" t="b">
        <f t="shared" si="25"/>
        <v>0</v>
      </c>
      <c r="AE387" t="b">
        <f t="shared" si="26"/>
        <v>1</v>
      </c>
      <c r="AF387" t="b">
        <f t="shared" si="27"/>
        <v>0</v>
      </c>
    </row>
    <row r="388" spans="1:32">
      <c r="A388" t="s">
        <v>1501</v>
      </c>
      <c r="B388" s="1" t="s">
        <v>1502</v>
      </c>
      <c r="C388" s="2">
        <v>46107.554583333302</v>
      </c>
      <c r="D388" s="1" t="s">
        <v>30</v>
      </c>
      <c r="E388" s="1" t="s">
        <v>1312</v>
      </c>
      <c r="F388" s="1" t="s">
        <v>952</v>
      </c>
      <c r="G388" s="3">
        <v>46107</v>
      </c>
      <c r="H388" s="1" t="s">
        <v>1343</v>
      </c>
      <c r="I388" s="1" t="s">
        <v>63</v>
      </c>
      <c r="J388" s="1" t="s">
        <v>35</v>
      </c>
      <c r="K388" s="1" t="s">
        <v>280</v>
      </c>
      <c r="L388" t="s">
        <v>952</v>
      </c>
      <c r="N388" s="3">
        <v>46107</v>
      </c>
      <c r="O388" s="1" t="s">
        <v>30</v>
      </c>
      <c r="P388" s="4">
        <v>150000</v>
      </c>
      <c r="Q388" s="5">
        <v>11</v>
      </c>
      <c r="R388" s="1" t="s">
        <v>38</v>
      </c>
      <c r="T388" s="1" t="s">
        <v>39</v>
      </c>
      <c r="U388" s="4">
        <v>184814.93</v>
      </c>
      <c r="V388" s="5">
        <v>33</v>
      </c>
      <c r="W388" s="5">
        <v>0</v>
      </c>
      <c r="Y388" s="1" t="s">
        <v>72</v>
      </c>
      <c r="Z388" s="3">
        <v>46107</v>
      </c>
      <c r="AA388" s="1" t="s">
        <v>41</v>
      </c>
      <c r="AB388" s="1" t="s">
        <v>42</v>
      </c>
      <c r="AC388" t="b">
        <f t="shared" si="24"/>
        <v>1</v>
      </c>
      <c r="AD388" t="b">
        <f t="shared" si="25"/>
        <v>0</v>
      </c>
      <c r="AE388" t="b">
        <f t="shared" si="26"/>
        <v>0</v>
      </c>
      <c r="AF388" t="b">
        <f t="shared" si="27"/>
        <v>0</v>
      </c>
    </row>
    <row r="389" spans="1:32">
      <c r="A389" t="s">
        <v>1503</v>
      </c>
      <c r="B389" s="1" t="s">
        <v>1504</v>
      </c>
      <c r="C389" s="2">
        <v>46170.728865740697</v>
      </c>
      <c r="D389" s="1" t="s">
        <v>30</v>
      </c>
      <c r="E389" s="1" t="s">
        <v>1316</v>
      </c>
      <c r="F389" s="1" t="s">
        <v>1317</v>
      </c>
      <c r="G389" s="3">
        <v>46155</v>
      </c>
      <c r="H389" s="1" t="s">
        <v>1505</v>
      </c>
      <c r="I389" s="1" t="s">
        <v>63</v>
      </c>
      <c r="J389" s="1" t="s">
        <v>315</v>
      </c>
      <c r="K389" s="1" t="s">
        <v>35</v>
      </c>
      <c r="L389" t="s">
        <v>1317</v>
      </c>
      <c r="M389" s="1" t="s">
        <v>45</v>
      </c>
      <c r="N389" s="3">
        <v>46170</v>
      </c>
      <c r="O389" s="1" t="s">
        <v>30</v>
      </c>
      <c r="P389" s="4">
        <v>150000</v>
      </c>
      <c r="Q389" s="5">
        <v>5</v>
      </c>
      <c r="R389" s="1" t="s">
        <v>65</v>
      </c>
      <c r="T389" s="1" t="s">
        <v>39</v>
      </c>
      <c r="U389" s="4">
        <v>190274.95</v>
      </c>
      <c r="V389" s="5">
        <v>15</v>
      </c>
      <c r="W389" s="5">
        <v>0</v>
      </c>
      <c r="Y389" s="1" t="s">
        <v>961</v>
      </c>
      <c r="Z389" s="3">
        <v>46155</v>
      </c>
      <c r="AA389" s="1" t="s">
        <v>41</v>
      </c>
      <c r="AB389" s="1" t="s">
        <v>42</v>
      </c>
      <c r="AC389" t="b">
        <f t="shared" si="24"/>
        <v>0</v>
      </c>
      <c r="AD389" t="b">
        <f t="shared" si="25"/>
        <v>0</v>
      </c>
      <c r="AE389" t="b">
        <f t="shared" si="26"/>
        <v>0</v>
      </c>
      <c r="AF389" t="b">
        <f t="shared" si="27"/>
        <v>0</v>
      </c>
    </row>
    <row r="390" spans="1:32">
      <c r="A390" t="s">
        <v>1506</v>
      </c>
      <c r="B390" s="1" t="s">
        <v>1507</v>
      </c>
      <c r="C390" s="2">
        <v>46037.516354166699</v>
      </c>
      <c r="D390" s="1" t="s">
        <v>30</v>
      </c>
      <c r="E390" s="1" t="s">
        <v>1508</v>
      </c>
      <c r="F390" s="1" t="s">
        <v>294</v>
      </c>
      <c r="G390" s="3">
        <v>46038</v>
      </c>
      <c r="H390" s="1" t="s">
        <v>1509</v>
      </c>
      <c r="I390" s="1" t="s">
        <v>97</v>
      </c>
      <c r="J390" s="1" t="s">
        <v>35</v>
      </c>
      <c r="K390" s="1" t="s">
        <v>35</v>
      </c>
      <c r="L390" t="s">
        <v>294</v>
      </c>
      <c r="M390" s="1" t="s">
        <v>45</v>
      </c>
      <c r="N390" s="3">
        <v>46037</v>
      </c>
      <c r="O390" s="1" t="s">
        <v>30</v>
      </c>
      <c r="P390" s="4">
        <v>150000</v>
      </c>
      <c r="Q390" s="5">
        <v>48</v>
      </c>
      <c r="R390" s="1" t="s">
        <v>38</v>
      </c>
      <c r="T390" s="1" t="s">
        <v>39</v>
      </c>
      <c r="U390" s="4">
        <v>178875</v>
      </c>
      <c r="Y390" s="1" t="s">
        <v>58</v>
      </c>
      <c r="Z390" s="3">
        <v>46038</v>
      </c>
      <c r="AA390" s="1" t="s">
        <v>41</v>
      </c>
      <c r="AB390" s="1" t="s">
        <v>42</v>
      </c>
      <c r="AC390" t="b">
        <f t="shared" si="24"/>
        <v>0</v>
      </c>
      <c r="AD390" t="b">
        <f t="shared" si="25"/>
        <v>0</v>
      </c>
      <c r="AE390" t="b">
        <f t="shared" si="26"/>
        <v>0</v>
      </c>
      <c r="AF390" t="b">
        <f t="shared" si="27"/>
        <v>0</v>
      </c>
    </row>
    <row r="391" spans="1:32">
      <c r="A391" t="s">
        <v>1510</v>
      </c>
      <c r="B391" s="1" t="s">
        <v>1511</v>
      </c>
      <c r="C391" s="2">
        <v>46162.837280092601</v>
      </c>
      <c r="D391" s="1" t="s">
        <v>30</v>
      </c>
      <c r="E391" s="1" t="s">
        <v>1512</v>
      </c>
      <c r="F391" s="1" t="s">
        <v>443</v>
      </c>
      <c r="G391" s="3">
        <v>46173</v>
      </c>
      <c r="H391" s="1" t="s">
        <v>1513</v>
      </c>
      <c r="I391" s="1" t="s">
        <v>34</v>
      </c>
      <c r="J391" s="1" t="s">
        <v>244</v>
      </c>
      <c r="K391" s="1" t="s">
        <v>35</v>
      </c>
      <c r="L391" t="s">
        <v>443</v>
      </c>
      <c r="N391" s="3">
        <v>46162</v>
      </c>
      <c r="O391" s="1" t="s">
        <v>30</v>
      </c>
      <c r="P391" s="4">
        <v>150000</v>
      </c>
      <c r="Q391" s="5">
        <v>1</v>
      </c>
      <c r="R391" s="1" t="s">
        <v>38</v>
      </c>
      <c r="S391" s="5">
        <v>3000</v>
      </c>
      <c r="T391" s="1" t="s">
        <v>39</v>
      </c>
      <c r="U391" s="4">
        <v>192164.98</v>
      </c>
      <c r="Y391" s="1" t="s">
        <v>72</v>
      </c>
      <c r="Z391" s="3">
        <v>46173</v>
      </c>
      <c r="AA391" s="1" t="s">
        <v>41</v>
      </c>
      <c r="AB391" s="1" t="s">
        <v>42</v>
      </c>
      <c r="AC391" t="b">
        <f t="shared" si="24"/>
        <v>0</v>
      </c>
      <c r="AD391" t="b">
        <f t="shared" si="25"/>
        <v>0</v>
      </c>
      <c r="AE391" t="b">
        <f t="shared" si="26"/>
        <v>0</v>
      </c>
      <c r="AF391" t="b">
        <f t="shared" si="27"/>
        <v>0</v>
      </c>
    </row>
    <row r="392" spans="1:32">
      <c r="A392" t="s">
        <v>1514</v>
      </c>
      <c r="B392" s="1" t="s">
        <v>1515</v>
      </c>
      <c r="C392" s="2">
        <v>46052.794571759303</v>
      </c>
      <c r="D392" s="1" t="s">
        <v>30</v>
      </c>
      <c r="E392" s="1" t="s">
        <v>1516</v>
      </c>
      <c r="F392" s="1" t="s">
        <v>652</v>
      </c>
      <c r="G392" s="3">
        <v>46052</v>
      </c>
      <c r="H392" s="1" t="s">
        <v>1517</v>
      </c>
      <c r="I392" s="1" t="s">
        <v>63</v>
      </c>
      <c r="J392" s="1" t="s">
        <v>35</v>
      </c>
      <c r="K392" s="1" t="s">
        <v>64</v>
      </c>
      <c r="L392" t="s">
        <v>652</v>
      </c>
      <c r="M392" s="1" t="s">
        <v>45</v>
      </c>
      <c r="N392" s="3">
        <v>46052</v>
      </c>
      <c r="O392" s="1" t="s">
        <v>30</v>
      </c>
      <c r="P392" s="4">
        <v>158900</v>
      </c>
      <c r="Q392" s="5">
        <v>2</v>
      </c>
      <c r="R392" s="1" t="s">
        <v>38</v>
      </c>
      <c r="T392" s="1" t="s">
        <v>39</v>
      </c>
      <c r="U392" s="4">
        <v>190711.81</v>
      </c>
      <c r="V392" s="5">
        <v>14</v>
      </c>
      <c r="W392" s="5">
        <v>0</v>
      </c>
      <c r="Y392" s="1" t="s">
        <v>58</v>
      </c>
      <c r="Z392" s="3">
        <v>46052</v>
      </c>
      <c r="AA392" s="1" t="s">
        <v>41</v>
      </c>
      <c r="AB392" s="1" t="s">
        <v>42</v>
      </c>
      <c r="AC392" t="b">
        <f t="shared" si="24"/>
        <v>0</v>
      </c>
      <c r="AD392" t="b">
        <f t="shared" si="25"/>
        <v>0</v>
      </c>
      <c r="AE392" t="b">
        <f t="shared" si="26"/>
        <v>0</v>
      </c>
      <c r="AF392" t="b">
        <f t="shared" si="27"/>
        <v>0</v>
      </c>
    </row>
    <row r="393" spans="1:32">
      <c r="A393" t="s">
        <v>1518</v>
      </c>
      <c r="B393" s="1" t="s">
        <v>1519</v>
      </c>
      <c r="C393" s="2">
        <v>46157.724374999998</v>
      </c>
      <c r="D393" s="1" t="s">
        <v>30</v>
      </c>
      <c r="E393" s="1" t="s">
        <v>1520</v>
      </c>
      <c r="F393" s="1" t="s">
        <v>49</v>
      </c>
      <c r="G393" s="3">
        <v>46157</v>
      </c>
      <c r="H393" s="1" t="s">
        <v>1521</v>
      </c>
      <c r="I393" s="1" t="s">
        <v>63</v>
      </c>
      <c r="J393" s="1" t="s">
        <v>64</v>
      </c>
      <c r="K393" s="1" t="s">
        <v>35</v>
      </c>
      <c r="L393" t="s">
        <v>49</v>
      </c>
      <c r="N393" s="3">
        <v>46157</v>
      </c>
      <c r="O393" s="1" t="s">
        <v>30</v>
      </c>
      <c r="P393" s="4">
        <v>160000</v>
      </c>
      <c r="Q393" s="5">
        <v>1</v>
      </c>
      <c r="R393" s="1" t="s">
        <v>38</v>
      </c>
      <c r="T393" s="1" t="s">
        <v>39</v>
      </c>
      <c r="U393" s="4">
        <v>208496.07</v>
      </c>
      <c r="V393" s="5">
        <v>16</v>
      </c>
      <c r="W393" s="5">
        <v>0</v>
      </c>
      <c r="Y393" s="1" t="s">
        <v>51</v>
      </c>
      <c r="Z393" s="3">
        <v>46157</v>
      </c>
      <c r="AA393" s="1" t="s">
        <v>41</v>
      </c>
      <c r="AB393" s="1" t="s">
        <v>42</v>
      </c>
      <c r="AC393" t="b">
        <f t="shared" si="24"/>
        <v>0</v>
      </c>
      <c r="AD393" t="b">
        <f t="shared" si="25"/>
        <v>0</v>
      </c>
      <c r="AE393" t="b">
        <f t="shared" si="26"/>
        <v>0</v>
      </c>
      <c r="AF393" t="b">
        <f t="shared" si="27"/>
        <v>0</v>
      </c>
    </row>
    <row r="394" spans="1:32">
      <c r="A394" t="s">
        <v>1522</v>
      </c>
      <c r="B394" s="1" t="s">
        <v>1523</v>
      </c>
      <c r="C394" s="2">
        <v>46148.880706018499</v>
      </c>
      <c r="D394" s="1" t="s">
        <v>30</v>
      </c>
      <c r="E394" s="1" t="s">
        <v>537</v>
      </c>
      <c r="F394" s="1" t="s">
        <v>266</v>
      </c>
      <c r="G394" s="3">
        <v>46149</v>
      </c>
      <c r="H394" s="1" t="s">
        <v>1524</v>
      </c>
      <c r="I394" s="1" t="s">
        <v>34</v>
      </c>
      <c r="J394" s="1" t="s">
        <v>35</v>
      </c>
      <c r="K394" s="1" t="s">
        <v>244</v>
      </c>
      <c r="L394" t="s">
        <v>266</v>
      </c>
      <c r="N394" s="3">
        <v>46148</v>
      </c>
      <c r="O394" s="1" t="s">
        <v>30</v>
      </c>
      <c r="P394" s="4">
        <v>160000</v>
      </c>
      <c r="Q394" s="5">
        <v>5</v>
      </c>
      <c r="R394" s="1" t="s">
        <v>38</v>
      </c>
      <c r="S394" s="5">
        <v>500</v>
      </c>
      <c r="T394" s="1" t="s">
        <v>39</v>
      </c>
      <c r="U394" s="4">
        <v>207616.02</v>
      </c>
      <c r="Y394" s="1" t="s">
        <v>72</v>
      </c>
      <c r="Z394" s="3">
        <v>46149</v>
      </c>
      <c r="AA394" s="1" t="s">
        <v>41</v>
      </c>
      <c r="AB394" s="1" t="s">
        <v>42</v>
      </c>
      <c r="AC394" t="b">
        <f t="shared" si="24"/>
        <v>0</v>
      </c>
      <c r="AD394" t="b">
        <f t="shared" si="25"/>
        <v>0</v>
      </c>
      <c r="AE394" t="b">
        <f t="shared" si="26"/>
        <v>0</v>
      </c>
      <c r="AF394" t="b">
        <f t="shared" si="27"/>
        <v>0</v>
      </c>
    </row>
    <row r="395" spans="1:32">
      <c r="A395" t="s">
        <v>1525</v>
      </c>
      <c r="B395" s="1" t="s">
        <v>1526</v>
      </c>
      <c r="C395" s="2">
        <v>46171.598090277803</v>
      </c>
      <c r="D395" s="1" t="s">
        <v>30</v>
      </c>
      <c r="E395" s="1" t="s">
        <v>1527</v>
      </c>
      <c r="F395" s="1" t="s">
        <v>487</v>
      </c>
      <c r="G395" s="3">
        <v>46171</v>
      </c>
      <c r="H395" s="1" t="s">
        <v>1528</v>
      </c>
      <c r="I395" s="1" t="s">
        <v>63</v>
      </c>
      <c r="J395" s="1" t="s">
        <v>64</v>
      </c>
      <c r="K395" s="1" t="s">
        <v>35</v>
      </c>
      <c r="L395" t="s">
        <v>487</v>
      </c>
      <c r="M395" s="1" t="s">
        <v>45</v>
      </c>
      <c r="N395" s="3">
        <v>46171</v>
      </c>
      <c r="O395" s="1" t="s">
        <v>30</v>
      </c>
      <c r="P395" s="4">
        <v>171000</v>
      </c>
      <c r="Q395" s="5">
        <v>4</v>
      </c>
      <c r="R395" s="1" t="s">
        <v>38</v>
      </c>
      <c r="T395" s="1" t="s">
        <v>39</v>
      </c>
      <c r="U395" s="4">
        <v>216913.45</v>
      </c>
      <c r="V395" s="5">
        <v>8</v>
      </c>
      <c r="W395" s="5">
        <v>0</v>
      </c>
      <c r="Y395" s="1" t="s">
        <v>72</v>
      </c>
      <c r="Z395" s="3">
        <v>46171</v>
      </c>
      <c r="AA395" s="1" t="s">
        <v>41</v>
      </c>
      <c r="AB395" s="1" t="s">
        <v>42</v>
      </c>
      <c r="AC395" t="b">
        <f t="shared" si="24"/>
        <v>1</v>
      </c>
      <c r="AD395" t="b">
        <f t="shared" si="25"/>
        <v>0</v>
      </c>
      <c r="AE395" t="b">
        <f t="shared" si="26"/>
        <v>0</v>
      </c>
      <c r="AF395" t="b">
        <f t="shared" si="27"/>
        <v>0</v>
      </c>
    </row>
    <row r="396" spans="1:32">
      <c r="A396" t="s">
        <v>1529</v>
      </c>
      <c r="B396" s="1" t="s">
        <v>1530</v>
      </c>
      <c r="C396" s="2">
        <v>46119.715254629598</v>
      </c>
      <c r="D396" s="1" t="s">
        <v>30</v>
      </c>
      <c r="E396" s="1" t="s">
        <v>1531</v>
      </c>
      <c r="F396" s="1" t="s">
        <v>1081</v>
      </c>
      <c r="G396" s="3">
        <v>46120</v>
      </c>
      <c r="H396" s="1" t="s">
        <v>1532</v>
      </c>
      <c r="I396" s="1" t="s">
        <v>63</v>
      </c>
      <c r="J396" s="1" t="s">
        <v>114</v>
      </c>
      <c r="K396" s="1" t="s">
        <v>35</v>
      </c>
      <c r="L396" t="s">
        <v>1081</v>
      </c>
      <c r="N396" s="3">
        <v>46119</v>
      </c>
      <c r="O396" s="1" t="s">
        <v>30</v>
      </c>
      <c r="P396" s="4">
        <v>175000</v>
      </c>
      <c r="Q396" s="5">
        <v>10</v>
      </c>
      <c r="R396" s="1" t="s">
        <v>38</v>
      </c>
      <c r="T396" s="1" t="s">
        <v>39</v>
      </c>
      <c r="U396" s="4">
        <v>220132.58</v>
      </c>
      <c r="V396" s="5">
        <v>24</v>
      </c>
      <c r="W396" s="5">
        <v>0</v>
      </c>
      <c r="Y396" s="1" t="s">
        <v>58</v>
      </c>
      <c r="Z396" s="3">
        <v>46120</v>
      </c>
      <c r="AA396" s="1" t="s">
        <v>41</v>
      </c>
      <c r="AB396" s="1" t="s">
        <v>208</v>
      </c>
      <c r="AC396" t="b">
        <f t="shared" si="24"/>
        <v>0</v>
      </c>
      <c r="AD396" t="b">
        <f t="shared" si="25"/>
        <v>0</v>
      </c>
      <c r="AE396" t="b">
        <f t="shared" si="26"/>
        <v>0</v>
      </c>
      <c r="AF396" t="b">
        <f t="shared" si="27"/>
        <v>0</v>
      </c>
    </row>
    <row r="397" spans="1:32">
      <c r="A397" t="s">
        <v>1533</v>
      </c>
      <c r="B397" s="1" t="s">
        <v>1534</v>
      </c>
      <c r="C397" s="2">
        <v>46168.877349536997</v>
      </c>
      <c r="D397" s="1" t="s">
        <v>30</v>
      </c>
      <c r="E397" s="1" t="s">
        <v>1312</v>
      </c>
      <c r="F397" s="1" t="s">
        <v>952</v>
      </c>
      <c r="G397" s="3">
        <v>46211</v>
      </c>
      <c r="H397" s="1" t="s">
        <v>1313</v>
      </c>
      <c r="I397" s="1" t="s">
        <v>63</v>
      </c>
      <c r="J397" s="1" t="s">
        <v>35</v>
      </c>
      <c r="K397" s="1" t="s">
        <v>296</v>
      </c>
      <c r="L397" t="s">
        <v>952</v>
      </c>
      <c r="N397" s="3">
        <v>46168</v>
      </c>
      <c r="O397" s="1" t="s">
        <v>30</v>
      </c>
      <c r="P397" s="4">
        <v>180000</v>
      </c>
      <c r="Q397" s="5">
        <v>4</v>
      </c>
      <c r="R397" s="1" t="s">
        <v>38</v>
      </c>
      <c r="T397" s="1" t="s">
        <v>39</v>
      </c>
      <c r="U397" s="4">
        <v>231245.96</v>
      </c>
      <c r="V397" s="5">
        <v>8</v>
      </c>
      <c r="W397" s="5">
        <v>0</v>
      </c>
      <c r="Y397" s="1" t="s">
        <v>72</v>
      </c>
      <c r="Z397" s="3">
        <v>46211</v>
      </c>
      <c r="AA397" s="1" t="s">
        <v>41</v>
      </c>
      <c r="AB397" s="1" t="s">
        <v>42</v>
      </c>
      <c r="AC397" t="b">
        <f t="shared" si="24"/>
        <v>0</v>
      </c>
      <c r="AD397" t="b">
        <f t="shared" si="25"/>
        <v>0</v>
      </c>
      <c r="AE397" t="b">
        <f t="shared" si="26"/>
        <v>0</v>
      </c>
      <c r="AF397" t="b">
        <f t="shared" si="27"/>
        <v>0</v>
      </c>
    </row>
    <row r="398" spans="1:32">
      <c r="A398" t="s">
        <v>1535</v>
      </c>
      <c r="B398" s="1" t="s">
        <v>1536</v>
      </c>
      <c r="C398" s="2">
        <v>46107.554571759298</v>
      </c>
      <c r="D398" s="1" t="s">
        <v>30</v>
      </c>
      <c r="E398" s="1" t="s">
        <v>1312</v>
      </c>
      <c r="F398" s="1" t="s">
        <v>952</v>
      </c>
      <c r="G398" s="3">
        <v>46107</v>
      </c>
      <c r="H398" s="1" t="s">
        <v>1343</v>
      </c>
      <c r="I398" s="1" t="s">
        <v>63</v>
      </c>
      <c r="J398" s="1" t="s">
        <v>35</v>
      </c>
      <c r="K398" s="1" t="s">
        <v>36</v>
      </c>
      <c r="L398" t="s">
        <v>952</v>
      </c>
      <c r="N398" s="3">
        <v>46107</v>
      </c>
      <c r="O398" s="1" t="s">
        <v>30</v>
      </c>
      <c r="P398" s="4">
        <v>180000</v>
      </c>
      <c r="Q398" s="5">
        <v>31</v>
      </c>
      <c r="R398" s="1" t="s">
        <v>38</v>
      </c>
      <c r="T398" s="1" t="s">
        <v>39</v>
      </c>
      <c r="U398" s="4">
        <v>221777.92000000001</v>
      </c>
      <c r="V398" s="5">
        <v>94</v>
      </c>
      <c r="W398" s="5">
        <v>0</v>
      </c>
      <c r="Y398" s="1" t="s">
        <v>72</v>
      </c>
      <c r="Z398" s="3">
        <v>46107</v>
      </c>
      <c r="AA398" s="1" t="s">
        <v>41</v>
      </c>
      <c r="AB398" s="1" t="s">
        <v>42</v>
      </c>
      <c r="AC398" t="b">
        <f t="shared" si="24"/>
        <v>1</v>
      </c>
      <c r="AD398" t="b">
        <f t="shared" si="25"/>
        <v>0</v>
      </c>
      <c r="AE398" t="b">
        <f t="shared" si="26"/>
        <v>0</v>
      </c>
      <c r="AF398" t="b">
        <f t="shared" si="27"/>
        <v>0</v>
      </c>
    </row>
    <row r="399" spans="1:32">
      <c r="A399" t="s">
        <v>1537</v>
      </c>
      <c r="B399" s="1" t="s">
        <v>1538</v>
      </c>
      <c r="C399" s="2">
        <v>46141.880208333299</v>
      </c>
      <c r="D399" s="1" t="s">
        <v>30</v>
      </c>
      <c r="E399" s="1" t="s">
        <v>1271</v>
      </c>
      <c r="F399" s="1" t="s">
        <v>1059</v>
      </c>
      <c r="G399" s="3">
        <v>46147</v>
      </c>
      <c r="H399" s="1" t="s">
        <v>1539</v>
      </c>
      <c r="I399" s="1" t="s">
        <v>63</v>
      </c>
      <c r="J399" s="1" t="s">
        <v>35</v>
      </c>
      <c r="K399" s="1" t="s">
        <v>103</v>
      </c>
      <c r="L399" t="s">
        <v>1059</v>
      </c>
      <c r="N399" s="3">
        <v>46141</v>
      </c>
      <c r="O399" s="1" t="s">
        <v>30</v>
      </c>
      <c r="P399" s="4">
        <v>200000</v>
      </c>
      <c r="Q399" s="5">
        <v>8</v>
      </c>
      <c r="R399" s="1" t="s">
        <v>38</v>
      </c>
      <c r="T399" s="1" t="s">
        <v>39</v>
      </c>
      <c r="U399" s="4">
        <v>256280.08</v>
      </c>
      <c r="V399" s="5">
        <v>18</v>
      </c>
      <c r="W399" s="5">
        <v>1000</v>
      </c>
      <c r="Y399" s="1" t="s">
        <v>58</v>
      </c>
      <c r="Z399" s="3">
        <v>46147</v>
      </c>
      <c r="AA399" s="1" t="s">
        <v>41</v>
      </c>
      <c r="AB399" s="1" t="s">
        <v>42</v>
      </c>
      <c r="AC399" t="b">
        <f t="shared" si="24"/>
        <v>0</v>
      </c>
      <c r="AD399" t="b">
        <f t="shared" si="25"/>
        <v>0</v>
      </c>
      <c r="AE399" t="b">
        <f t="shared" si="26"/>
        <v>0</v>
      </c>
      <c r="AF399" t="b">
        <f t="shared" si="27"/>
        <v>0</v>
      </c>
    </row>
    <row r="400" spans="1:32">
      <c r="A400" t="s">
        <v>1540</v>
      </c>
      <c r="B400" s="1" t="s">
        <v>1541</v>
      </c>
      <c r="C400" s="2">
        <v>46183.465335648201</v>
      </c>
      <c r="D400" s="1" t="s">
        <v>30</v>
      </c>
      <c r="E400" s="1" t="s">
        <v>1312</v>
      </c>
      <c r="F400" s="1" t="s">
        <v>952</v>
      </c>
      <c r="H400" s="1" t="s">
        <v>1542</v>
      </c>
      <c r="I400" s="1" t="s">
        <v>34</v>
      </c>
      <c r="J400" s="1" t="s">
        <v>35</v>
      </c>
      <c r="K400" s="1" t="s">
        <v>244</v>
      </c>
      <c r="L400" t="s">
        <v>952</v>
      </c>
      <c r="O400" s="1" t="s">
        <v>30</v>
      </c>
      <c r="P400" s="4">
        <v>200000</v>
      </c>
      <c r="Q400" s="5">
        <v>4</v>
      </c>
      <c r="S400" s="5">
        <v>25000</v>
      </c>
      <c r="T400" s="1" t="s">
        <v>39</v>
      </c>
      <c r="U400" s="4">
        <v>253459.97</v>
      </c>
      <c r="Y400" s="1" t="s">
        <v>72</v>
      </c>
      <c r="Z400" s="3">
        <v>46227</v>
      </c>
      <c r="AA400" s="1" t="s">
        <v>79</v>
      </c>
      <c r="AB400" s="1" t="s">
        <v>80</v>
      </c>
      <c r="AC400" t="b">
        <f t="shared" si="24"/>
        <v>0</v>
      </c>
      <c r="AD400" t="b">
        <f t="shared" si="25"/>
        <v>0</v>
      </c>
      <c r="AE400" t="b">
        <f t="shared" si="26"/>
        <v>0</v>
      </c>
      <c r="AF400" t="b">
        <f t="shared" si="27"/>
        <v>0</v>
      </c>
    </row>
    <row r="401" spans="1:32">
      <c r="A401" t="s">
        <v>1543</v>
      </c>
      <c r="B401" s="1" t="s">
        <v>1544</v>
      </c>
      <c r="C401" s="2">
        <v>46155.7186111111</v>
      </c>
      <c r="D401" s="1" t="s">
        <v>30</v>
      </c>
      <c r="E401" s="1" t="s">
        <v>1545</v>
      </c>
      <c r="F401" s="1" t="s">
        <v>361</v>
      </c>
      <c r="G401" s="3">
        <v>46157</v>
      </c>
      <c r="H401" s="1" t="s">
        <v>1546</v>
      </c>
      <c r="I401" s="1" t="s">
        <v>63</v>
      </c>
      <c r="J401" s="1" t="s">
        <v>324</v>
      </c>
      <c r="K401" s="1" t="s">
        <v>35</v>
      </c>
      <c r="L401" t="s">
        <v>361</v>
      </c>
      <c r="M401" s="1" t="s">
        <v>45</v>
      </c>
      <c r="N401" s="3">
        <v>46155</v>
      </c>
      <c r="O401" s="1" t="s">
        <v>30</v>
      </c>
      <c r="P401" s="4">
        <v>200000</v>
      </c>
      <c r="Q401" s="5">
        <v>5</v>
      </c>
      <c r="R401" s="1" t="s">
        <v>38</v>
      </c>
      <c r="T401" s="1" t="s">
        <v>39</v>
      </c>
      <c r="U401" s="4">
        <v>260620.09</v>
      </c>
      <c r="V401" s="5">
        <v>10</v>
      </c>
      <c r="W401" s="5">
        <v>5</v>
      </c>
      <c r="Y401" s="1" t="s">
        <v>72</v>
      </c>
      <c r="Z401" s="3">
        <v>46157</v>
      </c>
      <c r="AA401" s="1" t="s">
        <v>41</v>
      </c>
      <c r="AB401" s="1" t="s">
        <v>42</v>
      </c>
      <c r="AC401" t="b">
        <f t="shared" si="24"/>
        <v>0</v>
      </c>
      <c r="AD401" t="b">
        <f t="shared" si="25"/>
        <v>0</v>
      </c>
      <c r="AE401" t="b">
        <f t="shared" si="26"/>
        <v>0</v>
      </c>
      <c r="AF401" t="b">
        <f t="shared" si="27"/>
        <v>0</v>
      </c>
    </row>
    <row r="402" spans="1:32">
      <c r="A402" t="s">
        <v>1547</v>
      </c>
      <c r="B402" s="1" t="s">
        <v>1548</v>
      </c>
      <c r="C402" s="2">
        <v>46126.577962962998</v>
      </c>
      <c r="D402" s="1" t="s">
        <v>30</v>
      </c>
      <c r="E402" s="1" t="s">
        <v>1549</v>
      </c>
      <c r="F402" s="1" t="s">
        <v>1059</v>
      </c>
      <c r="G402" s="3">
        <v>46125</v>
      </c>
      <c r="H402" s="1" t="s">
        <v>1550</v>
      </c>
      <c r="I402" s="1" t="s">
        <v>63</v>
      </c>
      <c r="J402" s="1" t="s">
        <v>64</v>
      </c>
      <c r="K402" s="1" t="s">
        <v>35</v>
      </c>
      <c r="L402" t="s">
        <v>1059</v>
      </c>
      <c r="N402" s="3">
        <v>46126</v>
      </c>
      <c r="O402" s="1" t="s">
        <v>30</v>
      </c>
      <c r="P402" s="4">
        <v>200000</v>
      </c>
      <c r="Q402" s="5">
        <v>1</v>
      </c>
      <c r="R402" s="1" t="s">
        <v>38</v>
      </c>
      <c r="T402" s="1" t="s">
        <v>39</v>
      </c>
      <c r="U402" s="4">
        <v>254140.07</v>
      </c>
      <c r="V402" s="5">
        <v>10</v>
      </c>
      <c r="W402" s="5">
        <v>1000</v>
      </c>
      <c r="Y402" s="1" t="s">
        <v>58</v>
      </c>
      <c r="Z402" s="3">
        <v>46125</v>
      </c>
      <c r="AA402" s="1" t="s">
        <v>41</v>
      </c>
      <c r="AB402" s="1" t="s">
        <v>42</v>
      </c>
      <c r="AC402" t="b">
        <f t="shared" si="24"/>
        <v>1</v>
      </c>
      <c r="AD402" t="b">
        <f t="shared" si="25"/>
        <v>0</v>
      </c>
      <c r="AE402" t="b">
        <f t="shared" si="26"/>
        <v>0</v>
      </c>
      <c r="AF402" t="b">
        <f t="shared" si="27"/>
        <v>0</v>
      </c>
    </row>
    <row r="403" spans="1:32">
      <c r="A403" t="s">
        <v>1551</v>
      </c>
      <c r="B403" s="1" t="s">
        <v>1552</v>
      </c>
      <c r="C403" s="2">
        <v>46149.806469907402</v>
      </c>
      <c r="D403" s="1" t="s">
        <v>30</v>
      </c>
      <c r="E403" s="1" t="s">
        <v>1271</v>
      </c>
      <c r="F403" s="1" t="s">
        <v>1059</v>
      </c>
      <c r="G403" s="3">
        <v>46149</v>
      </c>
      <c r="H403" s="1" t="s">
        <v>1553</v>
      </c>
      <c r="I403" s="1" t="s">
        <v>63</v>
      </c>
      <c r="J403" s="1" t="s">
        <v>35</v>
      </c>
      <c r="K403" s="1" t="s">
        <v>114</v>
      </c>
      <c r="L403" t="s">
        <v>1059</v>
      </c>
      <c r="N403" s="3">
        <v>46149</v>
      </c>
      <c r="O403" s="1" t="s">
        <v>30</v>
      </c>
      <c r="P403" s="4">
        <v>200000</v>
      </c>
      <c r="Q403" s="5">
        <v>4</v>
      </c>
      <c r="R403" s="1" t="s">
        <v>38</v>
      </c>
      <c r="T403" s="1" t="s">
        <v>39</v>
      </c>
      <c r="U403" s="4">
        <v>259520.02</v>
      </c>
      <c r="V403" s="5">
        <v>10</v>
      </c>
      <c r="W403" s="5">
        <v>1000</v>
      </c>
      <c r="Y403" s="1" t="s">
        <v>58</v>
      </c>
      <c r="Z403" s="3">
        <v>46149</v>
      </c>
      <c r="AA403" s="1" t="s">
        <v>41</v>
      </c>
      <c r="AB403" s="1" t="s">
        <v>42</v>
      </c>
      <c r="AC403" t="b">
        <f t="shared" si="24"/>
        <v>1</v>
      </c>
      <c r="AD403" t="b">
        <f t="shared" si="25"/>
        <v>0</v>
      </c>
      <c r="AE403" t="b">
        <f t="shared" si="26"/>
        <v>0</v>
      </c>
      <c r="AF403" t="b">
        <f t="shared" si="27"/>
        <v>0</v>
      </c>
    </row>
    <row r="404" spans="1:32">
      <c r="A404" t="s">
        <v>1554</v>
      </c>
      <c r="B404" s="1" t="s">
        <v>1555</v>
      </c>
      <c r="C404" s="2">
        <v>46142.813287037003</v>
      </c>
      <c r="D404" s="1" t="s">
        <v>30</v>
      </c>
      <c r="E404" s="1" t="s">
        <v>1556</v>
      </c>
      <c r="F404" s="1" t="s">
        <v>636</v>
      </c>
      <c r="G404" s="3">
        <v>46142</v>
      </c>
      <c r="H404" s="1" t="s">
        <v>1557</v>
      </c>
      <c r="I404" s="1" t="s">
        <v>63</v>
      </c>
      <c r="J404" s="1" t="s">
        <v>64</v>
      </c>
      <c r="K404" s="1" t="s">
        <v>35</v>
      </c>
      <c r="L404" t="s">
        <v>636</v>
      </c>
      <c r="M404" s="1" t="s">
        <v>45</v>
      </c>
      <c r="N404" s="3">
        <v>46142</v>
      </c>
      <c r="O404" s="1" t="s">
        <v>30</v>
      </c>
      <c r="P404" s="4">
        <v>200000</v>
      </c>
      <c r="Q404" s="5">
        <v>60</v>
      </c>
      <c r="R404" s="1" t="s">
        <v>38</v>
      </c>
      <c r="T404" s="1" t="s">
        <v>39</v>
      </c>
      <c r="U404" s="4">
        <v>256260.08</v>
      </c>
      <c r="V404" s="5">
        <v>10</v>
      </c>
      <c r="W404" s="5">
        <v>100</v>
      </c>
      <c r="Y404" s="1" t="s">
        <v>58</v>
      </c>
      <c r="Z404" s="3">
        <v>46142</v>
      </c>
      <c r="AA404" s="1" t="s">
        <v>41</v>
      </c>
      <c r="AB404" s="1" t="s">
        <v>42</v>
      </c>
      <c r="AC404" t="b">
        <f t="shared" si="24"/>
        <v>0</v>
      </c>
      <c r="AD404" t="b">
        <f t="shared" si="25"/>
        <v>0</v>
      </c>
      <c r="AE404" t="b">
        <f t="shared" si="26"/>
        <v>0</v>
      </c>
      <c r="AF404" t="b">
        <f t="shared" si="27"/>
        <v>0</v>
      </c>
    </row>
    <row r="405" spans="1:32">
      <c r="A405" t="s">
        <v>1558</v>
      </c>
      <c r="B405" s="1" t="s">
        <v>1559</v>
      </c>
      <c r="C405" s="2">
        <v>46142.813287037003</v>
      </c>
      <c r="D405" s="1" t="s">
        <v>30</v>
      </c>
      <c r="E405" s="1" t="s">
        <v>1556</v>
      </c>
      <c r="F405" s="1" t="s">
        <v>636</v>
      </c>
      <c r="G405" s="3">
        <v>46142</v>
      </c>
      <c r="H405" s="1" t="s">
        <v>1557</v>
      </c>
      <c r="I405" s="1" t="s">
        <v>63</v>
      </c>
      <c r="J405" s="1" t="s">
        <v>232</v>
      </c>
      <c r="K405" s="1" t="s">
        <v>35</v>
      </c>
      <c r="L405" t="s">
        <v>636</v>
      </c>
      <c r="M405" s="1" t="s">
        <v>45</v>
      </c>
      <c r="N405" s="3">
        <v>46142</v>
      </c>
      <c r="O405" s="1" t="s">
        <v>30</v>
      </c>
      <c r="P405" s="4">
        <v>200000</v>
      </c>
      <c r="Q405" s="5">
        <v>80</v>
      </c>
      <c r="R405" s="1" t="s">
        <v>38</v>
      </c>
      <c r="T405" s="1" t="s">
        <v>39</v>
      </c>
      <c r="U405" s="4">
        <v>256260.08</v>
      </c>
      <c r="V405" s="5">
        <v>15</v>
      </c>
      <c r="W405" s="5">
        <v>200</v>
      </c>
      <c r="Y405" s="1" t="s">
        <v>58</v>
      </c>
      <c r="Z405" s="3">
        <v>46142</v>
      </c>
      <c r="AA405" s="1" t="s">
        <v>41</v>
      </c>
      <c r="AB405" s="1" t="s">
        <v>42</v>
      </c>
      <c r="AC405" t="b">
        <f t="shared" si="24"/>
        <v>0</v>
      </c>
      <c r="AD405" t="b">
        <f t="shared" si="25"/>
        <v>0</v>
      </c>
      <c r="AE405" t="b">
        <f t="shared" si="26"/>
        <v>0</v>
      </c>
      <c r="AF405" t="b">
        <f t="shared" si="27"/>
        <v>0</v>
      </c>
    </row>
    <row r="406" spans="1:32">
      <c r="A406" t="s">
        <v>1560</v>
      </c>
      <c r="B406" s="1" t="s">
        <v>1561</v>
      </c>
      <c r="C406" s="2">
        <v>46142.813298611101</v>
      </c>
      <c r="D406" s="1" t="s">
        <v>30</v>
      </c>
      <c r="E406" s="1" t="s">
        <v>1556</v>
      </c>
      <c r="F406" s="1" t="s">
        <v>636</v>
      </c>
      <c r="G406" s="3">
        <v>46142</v>
      </c>
      <c r="H406" s="1" t="s">
        <v>1557</v>
      </c>
      <c r="I406" s="1" t="s">
        <v>63</v>
      </c>
      <c r="J406" s="1" t="s">
        <v>357</v>
      </c>
      <c r="K406" s="1" t="s">
        <v>35</v>
      </c>
      <c r="L406" t="s">
        <v>636</v>
      </c>
      <c r="M406" s="1" t="s">
        <v>45</v>
      </c>
      <c r="N406" s="3">
        <v>46142</v>
      </c>
      <c r="O406" s="1" t="s">
        <v>30</v>
      </c>
      <c r="P406" s="4">
        <v>200000</v>
      </c>
      <c r="Q406" s="5">
        <v>20</v>
      </c>
      <c r="R406" s="1" t="s">
        <v>38</v>
      </c>
      <c r="T406" s="1" t="s">
        <v>39</v>
      </c>
      <c r="U406" s="4">
        <v>256260.08</v>
      </c>
      <c r="V406" s="5">
        <v>5</v>
      </c>
      <c r="W406" s="5">
        <v>40</v>
      </c>
      <c r="Y406" s="1" t="s">
        <v>58</v>
      </c>
      <c r="Z406" s="3">
        <v>46142</v>
      </c>
      <c r="AA406" s="1" t="s">
        <v>41</v>
      </c>
      <c r="AB406" s="1" t="s">
        <v>42</v>
      </c>
      <c r="AC406" t="b">
        <f t="shared" si="24"/>
        <v>0</v>
      </c>
      <c r="AD406" t="b">
        <f t="shared" si="25"/>
        <v>0</v>
      </c>
      <c r="AE406" t="b">
        <f t="shared" si="26"/>
        <v>0</v>
      </c>
      <c r="AF406" t="b">
        <f t="shared" si="27"/>
        <v>0</v>
      </c>
    </row>
    <row r="407" spans="1:32">
      <c r="A407" t="s">
        <v>1562</v>
      </c>
      <c r="B407" s="1" t="s">
        <v>1563</v>
      </c>
      <c r="C407" s="2">
        <v>46142.813298611101</v>
      </c>
      <c r="D407" s="1" t="s">
        <v>30</v>
      </c>
      <c r="E407" s="1" t="s">
        <v>1556</v>
      </c>
      <c r="F407" s="1" t="s">
        <v>636</v>
      </c>
      <c r="G407" s="3">
        <v>46142</v>
      </c>
      <c r="H407" s="1" t="s">
        <v>1557</v>
      </c>
      <c r="I407" s="1" t="s">
        <v>63</v>
      </c>
      <c r="J407" s="1" t="s">
        <v>57</v>
      </c>
      <c r="K407" s="1" t="s">
        <v>35</v>
      </c>
      <c r="L407" t="s">
        <v>636</v>
      </c>
      <c r="M407" s="1" t="s">
        <v>45</v>
      </c>
      <c r="N407" s="3">
        <v>46142</v>
      </c>
      <c r="O407" s="1" t="s">
        <v>30</v>
      </c>
      <c r="P407" s="4">
        <v>200000</v>
      </c>
      <c r="Q407" s="5">
        <v>15</v>
      </c>
      <c r="R407" s="1" t="s">
        <v>38</v>
      </c>
      <c r="T407" s="1" t="s">
        <v>39</v>
      </c>
      <c r="U407" s="4">
        <v>256260.08</v>
      </c>
      <c r="V407" s="5">
        <v>20</v>
      </c>
      <c r="W407" s="5">
        <v>50</v>
      </c>
      <c r="Y407" s="1" t="s">
        <v>58</v>
      </c>
      <c r="Z407" s="3">
        <v>46142</v>
      </c>
      <c r="AA407" s="1" t="s">
        <v>41</v>
      </c>
      <c r="AB407" s="1" t="s">
        <v>42</v>
      </c>
      <c r="AC407" t="b">
        <f t="shared" si="24"/>
        <v>0</v>
      </c>
      <c r="AD407" t="b">
        <f t="shared" si="25"/>
        <v>0</v>
      </c>
      <c r="AE407" t="b">
        <f t="shared" si="26"/>
        <v>0</v>
      </c>
      <c r="AF407" t="b">
        <f t="shared" si="27"/>
        <v>0</v>
      </c>
    </row>
    <row r="408" spans="1:32">
      <c r="A408" t="s">
        <v>1564</v>
      </c>
      <c r="B408" s="1" t="s">
        <v>1565</v>
      </c>
      <c r="C408" s="2">
        <v>46142.8133101852</v>
      </c>
      <c r="D408" s="1" t="s">
        <v>30</v>
      </c>
      <c r="E408" s="1" t="s">
        <v>1556</v>
      </c>
      <c r="F408" s="1" t="s">
        <v>636</v>
      </c>
      <c r="G408" s="3">
        <v>46142</v>
      </c>
      <c r="H408" s="1" t="s">
        <v>1557</v>
      </c>
      <c r="I408" s="1" t="s">
        <v>63</v>
      </c>
      <c r="J408" s="1" t="s">
        <v>244</v>
      </c>
      <c r="K408" s="1" t="s">
        <v>35</v>
      </c>
      <c r="L408" t="s">
        <v>636</v>
      </c>
      <c r="M408" s="1" t="s">
        <v>45</v>
      </c>
      <c r="N408" s="3">
        <v>46142</v>
      </c>
      <c r="O408" s="1" t="s">
        <v>30</v>
      </c>
      <c r="P408" s="4">
        <v>200000</v>
      </c>
      <c r="Q408" s="5">
        <v>40</v>
      </c>
      <c r="R408" s="1" t="s">
        <v>38</v>
      </c>
      <c r="T408" s="1" t="s">
        <v>39</v>
      </c>
      <c r="U408" s="4">
        <v>256260.08</v>
      </c>
      <c r="V408" s="5">
        <v>30</v>
      </c>
      <c r="W408" s="5">
        <v>150</v>
      </c>
      <c r="Y408" s="1" t="s">
        <v>58</v>
      </c>
      <c r="Z408" s="3">
        <v>46142</v>
      </c>
      <c r="AA408" s="1" t="s">
        <v>41</v>
      </c>
      <c r="AB408" s="1" t="s">
        <v>42</v>
      </c>
      <c r="AC408" t="b">
        <f t="shared" si="24"/>
        <v>0</v>
      </c>
      <c r="AD408" t="b">
        <f t="shared" si="25"/>
        <v>0</v>
      </c>
      <c r="AE408" t="b">
        <f t="shared" si="26"/>
        <v>0</v>
      </c>
      <c r="AF408" t="b">
        <f t="shared" si="27"/>
        <v>0</v>
      </c>
    </row>
    <row r="409" spans="1:32">
      <c r="A409" t="s">
        <v>1566</v>
      </c>
      <c r="B409" s="1" t="s">
        <v>1567</v>
      </c>
      <c r="C409" s="2">
        <v>46055.511539351799</v>
      </c>
      <c r="D409" s="1" t="s">
        <v>30</v>
      </c>
      <c r="E409" s="1" t="s">
        <v>532</v>
      </c>
      <c r="F409" s="1" t="s">
        <v>533</v>
      </c>
      <c r="G409" s="3">
        <v>46054</v>
      </c>
      <c r="H409" s="1" t="s">
        <v>534</v>
      </c>
      <c r="I409" s="1" t="s">
        <v>63</v>
      </c>
      <c r="J409" s="1" t="s">
        <v>35</v>
      </c>
      <c r="K409" s="1" t="s">
        <v>1568</v>
      </c>
      <c r="L409" t="s">
        <v>274</v>
      </c>
      <c r="M409" s="1" t="s">
        <v>37</v>
      </c>
      <c r="N409" s="3">
        <v>46055</v>
      </c>
      <c r="O409" s="1" t="s">
        <v>30</v>
      </c>
      <c r="P409" s="4">
        <v>208785</v>
      </c>
      <c r="Q409" s="5">
        <v>7</v>
      </c>
      <c r="R409" s="1" t="s">
        <v>38</v>
      </c>
      <c r="T409" s="1" t="s">
        <v>39</v>
      </c>
      <c r="U409" s="4">
        <v>250583.79</v>
      </c>
      <c r="V409" s="5">
        <v>30</v>
      </c>
      <c r="W409" s="5">
        <v>0</v>
      </c>
      <c r="Z409" s="3">
        <v>46054</v>
      </c>
      <c r="AA409" s="1" t="s">
        <v>41</v>
      </c>
      <c r="AB409" s="1" t="s">
        <v>42</v>
      </c>
      <c r="AC409" t="b">
        <f t="shared" si="24"/>
        <v>0</v>
      </c>
      <c r="AD409" t="b">
        <f t="shared" si="25"/>
        <v>0</v>
      </c>
      <c r="AE409" t="b">
        <f t="shared" si="26"/>
        <v>0</v>
      </c>
      <c r="AF409" t="b">
        <f t="shared" si="27"/>
        <v>0</v>
      </c>
    </row>
    <row r="410" spans="1:32">
      <c r="A410" t="s">
        <v>1569</v>
      </c>
      <c r="B410" s="1" t="s">
        <v>1570</v>
      </c>
      <c r="C410" s="2">
        <v>46085.824525463002</v>
      </c>
      <c r="D410" s="1" t="s">
        <v>30</v>
      </c>
      <c r="E410" s="1" t="s">
        <v>1571</v>
      </c>
      <c r="F410" s="1" t="s">
        <v>533</v>
      </c>
      <c r="G410" s="3">
        <v>46085</v>
      </c>
      <c r="H410" s="1" t="s">
        <v>1572</v>
      </c>
      <c r="I410" s="1" t="s">
        <v>34</v>
      </c>
      <c r="J410" s="1" t="s">
        <v>78</v>
      </c>
      <c r="K410" s="1" t="s">
        <v>35</v>
      </c>
      <c r="L410" t="s">
        <v>652</v>
      </c>
      <c r="M410" s="1" t="s">
        <v>37</v>
      </c>
      <c r="N410" s="3">
        <v>46085</v>
      </c>
      <c r="O410" s="1" t="s">
        <v>30</v>
      </c>
      <c r="P410" s="4">
        <v>210955</v>
      </c>
      <c r="Q410" s="5">
        <v>14</v>
      </c>
      <c r="R410" s="1" t="s">
        <v>38</v>
      </c>
      <c r="S410" s="5">
        <v>9519</v>
      </c>
      <c r="T410" s="1" t="s">
        <v>39</v>
      </c>
      <c r="U410" s="4">
        <v>259432.54</v>
      </c>
      <c r="V410" s="5">
        <v>0</v>
      </c>
      <c r="W410" s="5">
        <v>0</v>
      </c>
      <c r="Z410" s="3">
        <v>46085</v>
      </c>
      <c r="AA410" s="1" t="s">
        <v>41</v>
      </c>
      <c r="AB410" s="1" t="s">
        <v>208</v>
      </c>
      <c r="AC410" t="b">
        <f t="shared" si="24"/>
        <v>1</v>
      </c>
      <c r="AD410" t="b">
        <f t="shared" si="25"/>
        <v>0</v>
      </c>
      <c r="AE410" t="b">
        <f t="shared" si="26"/>
        <v>0</v>
      </c>
      <c r="AF410" t="b">
        <f t="shared" si="27"/>
        <v>0</v>
      </c>
    </row>
    <row r="411" spans="1:32">
      <c r="A411" t="s">
        <v>1573</v>
      </c>
      <c r="B411" s="1" t="s">
        <v>1574</v>
      </c>
      <c r="C411" s="2">
        <v>46120.891921296301</v>
      </c>
      <c r="D411" s="1" t="s">
        <v>30</v>
      </c>
      <c r="E411" s="1" t="s">
        <v>931</v>
      </c>
      <c r="F411" s="1" t="s">
        <v>200</v>
      </c>
      <c r="G411" s="3">
        <v>46121</v>
      </c>
      <c r="H411" s="1" t="s">
        <v>1575</v>
      </c>
      <c r="I411" s="1" t="s">
        <v>34</v>
      </c>
      <c r="J411" s="1" t="s">
        <v>35</v>
      </c>
      <c r="K411" s="1" t="s">
        <v>1576</v>
      </c>
      <c r="L411" t="s">
        <v>200</v>
      </c>
      <c r="M411" s="1" t="s">
        <v>45</v>
      </c>
      <c r="N411" s="3">
        <v>46120</v>
      </c>
      <c r="O411" s="1" t="s">
        <v>30</v>
      </c>
      <c r="P411" s="4">
        <v>211073</v>
      </c>
      <c r="Q411" s="5">
        <v>1</v>
      </c>
      <c r="R411" s="1" t="s">
        <v>38</v>
      </c>
      <c r="S411" s="5">
        <v>5286</v>
      </c>
      <c r="T411" s="1" t="s">
        <v>39</v>
      </c>
      <c r="U411" s="4">
        <v>264601.21000000002</v>
      </c>
      <c r="Y411" s="1" t="s">
        <v>40</v>
      </c>
      <c r="Z411" s="3">
        <v>46121</v>
      </c>
      <c r="AA411" s="1" t="s">
        <v>41</v>
      </c>
      <c r="AB411" s="1" t="s">
        <v>42</v>
      </c>
      <c r="AC411" t="b">
        <f t="shared" si="24"/>
        <v>0</v>
      </c>
      <c r="AD411" t="b">
        <f t="shared" si="25"/>
        <v>0</v>
      </c>
      <c r="AE411" t="b">
        <f t="shared" si="26"/>
        <v>0</v>
      </c>
      <c r="AF411" t="b">
        <f t="shared" si="27"/>
        <v>0</v>
      </c>
    </row>
    <row r="412" spans="1:32">
      <c r="A412" t="s">
        <v>1577</v>
      </c>
      <c r="B412" s="1" t="s">
        <v>1578</v>
      </c>
      <c r="C412" s="2">
        <v>46133.779166666704</v>
      </c>
      <c r="D412" s="1" t="s">
        <v>30</v>
      </c>
      <c r="E412" s="1" t="s">
        <v>920</v>
      </c>
      <c r="F412" s="1" t="s">
        <v>266</v>
      </c>
      <c r="G412" s="3">
        <v>46133</v>
      </c>
      <c r="H412" s="1" t="s">
        <v>1579</v>
      </c>
      <c r="I412" s="1" t="s">
        <v>34</v>
      </c>
      <c r="J412" s="1" t="s">
        <v>35</v>
      </c>
      <c r="K412" s="1" t="s">
        <v>57</v>
      </c>
      <c r="L412" t="s">
        <v>266</v>
      </c>
      <c r="N412" s="3">
        <v>46133</v>
      </c>
      <c r="O412" s="1" t="s">
        <v>30</v>
      </c>
      <c r="P412" s="4">
        <v>214000</v>
      </c>
      <c r="Q412" s="5">
        <v>10</v>
      </c>
      <c r="R412" s="1" t="s">
        <v>38</v>
      </c>
      <c r="S412" s="5">
        <v>800</v>
      </c>
      <c r="T412" s="1" t="s">
        <v>39</v>
      </c>
      <c r="U412" s="4">
        <v>273705.99</v>
      </c>
      <c r="Y412" s="1" t="s">
        <v>72</v>
      </c>
      <c r="Z412" s="3">
        <v>46133</v>
      </c>
      <c r="AA412" s="1" t="s">
        <v>41</v>
      </c>
      <c r="AB412" s="1" t="s">
        <v>42</v>
      </c>
      <c r="AC412" t="b">
        <f t="shared" si="24"/>
        <v>0</v>
      </c>
      <c r="AD412" t="b">
        <f t="shared" si="25"/>
        <v>0</v>
      </c>
      <c r="AE412" t="b">
        <f t="shared" si="26"/>
        <v>0</v>
      </c>
      <c r="AF412" t="b">
        <f t="shared" si="27"/>
        <v>0</v>
      </c>
    </row>
    <row r="413" spans="1:32">
      <c r="A413" t="s">
        <v>1580</v>
      </c>
      <c r="B413" s="1" t="s">
        <v>1581</v>
      </c>
      <c r="C413" s="2">
        <v>46108.498148148101</v>
      </c>
      <c r="D413" s="1" t="s">
        <v>30</v>
      </c>
      <c r="E413" s="1" t="s">
        <v>1582</v>
      </c>
      <c r="F413" s="1" t="s">
        <v>328</v>
      </c>
      <c r="G413" s="3">
        <v>46108</v>
      </c>
      <c r="H413" s="1" t="s">
        <v>1583</v>
      </c>
      <c r="I413" s="1" t="s">
        <v>63</v>
      </c>
      <c r="J413" s="1" t="s">
        <v>35</v>
      </c>
      <c r="K413" s="1" t="s">
        <v>1279</v>
      </c>
      <c r="L413" t="s">
        <v>328</v>
      </c>
      <c r="M413" s="1" t="s">
        <v>37</v>
      </c>
      <c r="N413" s="3">
        <v>46108</v>
      </c>
      <c r="O413" s="1" t="s">
        <v>30</v>
      </c>
      <c r="P413" s="4">
        <v>216000</v>
      </c>
      <c r="Q413" s="5">
        <v>18</v>
      </c>
      <c r="R413" s="1" t="s">
        <v>38</v>
      </c>
      <c r="T413" s="1" t="s">
        <v>39</v>
      </c>
      <c r="U413" s="4">
        <v>267062.33</v>
      </c>
      <c r="V413" s="5">
        <v>2</v>
      </c>
      <c r="W413" s="5">
        <v>48</v>
      </c>
      <c r="Y413" s="1" t="s">
        <v>72</v>
      </c>
      <c r="Z413" s="3">
        <v>46108</v>
      </c>
      <c r="AA413" s="1" t="s">
        <v>41</v>
      </c>
      <c r="AB413" s="1" t="s">
        <v>208</v>
      </c>
      <c r="AC413" t="b">
        <f t="shared" si="24"/>
        <v>0</v>
      </c>
      <c r="AD413" t="b">
        <f t="shared" si="25"/>
        <v>0</v>
      </c>
      <c r="AE413" t="b">
        <f t="shared" si="26"/>
        <v>0</v>
      </c>
      <c r="AF413" t="b">
        <f t="shared" si="27"/>
        <v>0</v>
      </c>
    </row>
    <row r="414" spans="1:32">
      <c r="A414" t="s">
        <v>1584</v>
      </c>
      <c r="B414" s="1" t="s">
        <v>1585</v>
      </c>
      <c r="C414" s="2">
        <v>46085.824537036999</v>
      </c>
      <c r="D414" s="1" t="s">
        <v>30</v>
      </c>
      <c r="E414" s="1" t="s">
        <v>1571</v>
      </c>
      <c r="F414" s="1" t="s">
        <v>533</v>
      </c>
      <c r="G414" s="3">
        <v>46085</v>
      </c>
      <c r="H414" s="1" t="s">
        <v>1572</v>
      </c>
      <c r="I414" s="1" t="s">
        <v>34</v>
      </c>
      <c r="J414" s="1" t="s">
        <v>891</v>
      </c>
      <c r="K414" s="1" t="s">
        <v>35</v>
      </c>
      <c r="L414" t="s">
        <v>652</v>
      </c>
      <c r="M414" s="1" t="s">
        <v>37</v>
      </c>
      <c r="N414" s="3">
        <v>46085</v>
      </c>
      <c r="O414" s="1" t="s">
        <v>30</v>
      </c>
      <c r="P414" s="4">
        <v>217273</v>
      </c>
      <c r="Q414" s="5">
        <v>29</v>
      </c>
      <c r="R414" s="1" t="s">
        <v>38</v>
      </c>
      <c r="S414" s="5">
        <v>9568</v>
      </c>
      <c r="T414" s="1" t="s">
        <v>39</v>
      </c>
      <c r="U414" s="4">
        <v>267202.42</v>
      </c>
      <c r="V414" s="5">
        <v>0</v>
      </c>
      <c r="W414" s="5">
        <v>0</v>
      </c>
      <c r="Z414" s="3">
        <v>46085</v>
      </c>
      <c r="AA414" s="1" t="s">
        <v>41</v>
      </c>
      <c r="AB414" s="1" t="s">
        <v>208</v>
      </c>
      <c r="AC414" t="b">
        <f t="shared" si="24"/>
        <v>1</v>
      </c>
      <c r="AD414" t="b">
        <f t="shared" si="25"/>
        <v>0</v>
      </c>
      <c r="AE414" t="b">
        <f t="shared" si="26"/>
        <v>0</v>
      </c>
      <c r="AF414" t="b">
        <f t="shared" si="27"/>
        <v>0</v>
      </c>
    </row>
    <row r="415" spans="1:32">
      <c r="A415" t="s">
        <v>1586</v>
      </c>
      <c r="B415" s="1" t="s">
        <v>1587</v>
      </c>
      <c r="C415" s="2">
        <v>46144.076423611099</v>
      </c>
      <c r="D415" s="1" t="s">
        <v>30</v>
      </c>
      <c r="E415" s="1" t="s">
        <v>920</v>
      </c>
      <c r="F415" s="1" t="s">
        <v>266</v>
      </c>
      <c r="G415" s="3">
        <v>46055</v>
      </c>
      <c r="H415" s="1" t="s">
        <v>1588</v>
      </c>
      <c r="I415" s="1" t="s">
        <v>34</v>
      </c>
      <c r="J415" s="1" t="s">
        <v>64</v>
      </c>
      <c r="K415" s="1" t="s">
        <v>35</v>
      </c>
      <c r="L415" t="s">
        <v>266</v>
      </c>
      <c r="N415" s="3">
        <v>46055</v>
      </c>
      <c r="O415" s="1" t="s">
        <v>30</v>
      </c>
      <c r="P415" s="4">
        <v>220000</v>
      </c>
      <c r="Q415" s="5">
        <v>1</v>
      </c>
      <c r="R415" s="1" t="s">
        <v>65</v>
      </c>
      <c r="S415" s="5">
        <v>4500</v>
      </c>
      <c r="T415" s="1" t="s">
        <v>39</v>
      </c>
      <c r="U415" s="4">
        <v>264044.03999999998</v>
      </c>
      <c r="Y415" s="1" t="s">
        <v>72</v>
      </c>
      <c r="Z415" s="3">
        <v>46055</v>
      </c>
      <c r="AA415" s="1" t="s">
        <v>41</v>
      </c>
      <c r="AB415" s="1" t="s">
        <v>42</v>
      </c>
      <c r="AC415" t="b">
        <f t="shared" si="24"/>
        <v>0</v>
      </c>
      <c r="AD415" t="b">
        <f t="shared" si="25"/>
        <v>0</v>
      </c>
      <c r="AE415" t="b">
        <f t="shared" si="26"/>
        <v>0</v>
      </c>
      <c r="AF415" t="b">
        <f t="shared" si="27"/>
        <v>0</v>
      </c>
    </row>
    <row r="416" spans="1:32">
      <c r="A416" t="s">
        <v>1589</v>
      </c>
      <c r="B416" s="1" t="s">
        <v>1590</v>
      </c>
      <c r="C416" s="2">
        <v>46099.723981481497</v>
      </c>
      <c r="D416" s="1" t="s">
        <v>30</v>
      </c>
      <c r="E416" s="1" t="s">
        <v>1214</v>
      </c>
      <c r="F416" s="1" t="s">
        <v>652</v>
      </c>
      <c r="G416" s="3">
        <v>46099</v>
      </c>
      <c r="H416" s="1" t="s">
        <v>1591</v>
      </c>
      <c r="I416" s="1" t="s">
        <v>63</v>
      </c>
      <c r="J416" s="1" t="s">
        <v>35</v>
      </c>
      <c r="K416" s="1" t="s">
        <v>103</v>
      </c>
      <c r="L416" t="s">
        <v>652</v>
      </c>
      <c r="N416" s="3">
        <v>46099</v>
      </c>
      <c r="O416" s="1" t="s">
        <v>30</v>
      </c>
      <c r="P416" s="4">
        <v>220800</v>
      </c>
      <c r="Q416" s="5">
        <v>10</v>
      </c>
      <c r="R416" s="1" t="s">
        <v>38</v>
      </c>
      <c r="T416" s="1" t="s">
        <v>39</v>
      </c>
      <c r="U416" s="4">
        <v>274211.46999999997</v>
      </c>
      <c r="V416" s="5">
        <v>20</v>
      </c>
      <c r="W416" s="5">
        <v>0</v>
      </c>
      <c r="Y416" s="1" t="s">
        <v>58</v>
      </c>
      <c r="Z416" s="3">
        <v>46099</v>
      </c>
      <c r="AA416" s="1" t="s">
        <v>41</v>
      </c>
      <c r="AB416" s="1" t="s">
        <v>42</v>
      </c>
      <c r="AC416" t="b">
        <f t="shared" si="24"/>
        <v>0</v>
      </c>
      <c r="AD416" t="b">
        <f t="shared" si="25"/>
        <v>0</v>
      </c>
      <c r="AE416" t="b">
        <f t="shared" si="26"/>
        <v>0</v>
      </c>
      <c r="AF416" t="b">
        <f t="shared" si="27"/>
        <v>0</v>
      </c>
    </row>
    <row r="417" spans="1:32">
      <c r="A417" t="s">
        <v>1592</v>
      </c>
      <c r="B417" s="1" t="s">
        <v>1593</v>
      </c>
      <c r="C417" s="2">
        <v>46155.8824537037</v>
      </c>
      <c r="D417" s="1" t="s">
        <v>30</v>
      </c>
      <c r="E417" s="1" t="s">
        <v>537</v>
      </c>
      <c r="F417" s="1" t="s">
        <v>266</v>
      </c>
      <c r="G417" s="3">
        <v>46172</v>
      </c>
      <c r="H417" s="1" t="s">
        <v>538</v>
      </c>
      <c r="I417" s="1" t="s">
        <v>34</v>
      </c>
      <c r="J417" s="1" t="s">
        <v>226</v>
      </c>
      <c r="K417" s="1" t="s">
        <v>35</v>
      </c>
      <c r="L417" t="s">
        <v>266</v>
      </c>
      <c r="N417" s="3">
        <v>46155</v>
      </c>
      <c r="O417" s="1" t="s">
        <v>30</v>
      </c>
      <c r="P417" s="4">
        <v>230000</v>
      </c>
      <c r="Q417" s="5">
        <v>20</v>
      </c>
      <c r="R417" s="1" t="s">
        <v>65</v>
      </c>
      <c r="S417" s="5">
        <v>6000</v>
      </c>
      <c r="T417" s="1" t="s">
        <v>39</v>
      </c>
      <c r="U417" s="4">
        <v>299713.09999999998</v>
      </c>
      <c r="Y417" s="1" t="s">
        <v>72</v>
      </c>
      <c r="Z417" s="3">
        <v>46172</v>
      </c>
      <c r="AA417" s="1" t="s">
        <v>41</v>
      </c>
      <c r="AB417" s="1" t="s">
        <v>42</v>
      </c>
      <c r="AC417" t="b">
        <f t="shared" si="24"/>
        <v>1</v>
      </c>
      <c r="AD417" t="b">
        <f t="shared" si="25"/>
        <v>0</v>
      </c>
      <c r="AE417" t="b">
        <f t="shared" si="26"/>
        <v>0</v>
      </c>
      <c r="AF417" t="b">
        <f t="shared" si="27"/>
        <v>0</v>
      </c>
    </row>
    <row r="418" spans="1:32">
      <c r="A418" t="s">
        <v>1594</v>
      </c>
      <c r="B418" s="1" t="s">
        <v>1595</v>
      </c>
      <c r="C418" s="2">
        <v>46136.679884259298</v>
      </c>
      <c r="D418" s="1" t="s">
        <v>30</v>
      </c>
      <c r="E418" s="1" t="s">
        <v>1105</v>
      </c>
      <c r="F418" s="1" t="s">
        <v>76</v>
      </c>
      <c r="G418" s="3">
        <v>46143</v>
      </c>
      <c r="H418" s="1" t="s">
        <v>1106</v>
      </c>
      <c r="I418" s="1" t="s">
        <v>63</v>
      </c>
      <c r="J418" s="1" t="s">
        <v>57</v>
      </c>
      <c r="K418" s="1" t="s">
        <v>35</v>
      </c>
      <c r="L418" t="s">
        <v>76</v>
      </c>
      <c r="M418" s="1" t="s">
        <v>45</v>
      </c>
      <c r="N418" s="3">
        <v>46136</v>
      </c>
      <c r="O418" s="1" t="s">
        <v>30</v>
      </c>
      <c r="P418" s="4">
        <v>232320</v>
      </c>
      <c r="Q418" s="5">
        <v>12</v>
      </c>
      <c r="R418" s="1" t="s">
        <v>38</v>
      </c>
      <c r="T418" s="1" t="s">
        <v>39</v>
      </c>
      <c r="U418" s="4">
        <v>296138.26</v>
      </c>
      <c r="V418" s="5">
        <v>24</v>
      </c>
      <c r="W418" s="5">
        <v>0</v>
      </c>
      <c r="Y418" s="1" t="s">
        <v>72</v>
      </c>
      <c r="Z418" s="3">
        <v>46143</v>
      </c>
      <c r="AA418" s="1" t="s">
        <v>41</v>
      </c>
      <c r="AB418" s="1" t="s">
        <v>42</v>
      </c>
      <c r="AC418" t="b">
        <f t="shared" si="24"/>
        <v>0</v>
      </c>
      <c r="AD418" t="b">
        <f t="shared" si="25"/>
        <v>0</v>
      </c>
      <c r="AE418" t="b">
        <f t="shared" si="26"/>
        <v>0</v>
      </c>
      <c r="AF418" t="b">
        <f t="shared" si="27"/>
        <v>0</v>
      </c>
    </row>
    <row r="419" spans="1:32">
      <c r="A419" t="s">
        <v>1596</v>
      </c>
      <c r="B419" s="1" t="s">
        <v>1597</v>
      </c>
      <c r="C419" s="2">
        <v>46136.679861111101</v>
      </c>
      <c r="D419" s="1" t="s">
        <v>30</v>
      </c>
      <c r="E419" s="1" t="s">
        <v>1105</v>
      </c>
      <c r="F419" s="1" t="s">
        <v>76</v>
      </c>
      <c r="G419" s="3">
        <v>46143</v>
      </c>
      <c r="H419" s="1" t="s">
        <v>1106</v>
      </c>
      <c r="I419" s="1" t="s">
        <v>63</v>
      </c>
      <c r="J419" s="1" t="s">
        <v>64</v>
      </c>
      <c r="K419" s="1" t="s">
        <v>35</v>
      </c>
      <c r="L419" t="s">
        <v>76</v>
      </c>
      <c r="M419" s="1" t="s">
        <v>45</v>
      </c>
      <c r="N419" s="3">
        <v>46136</v>
      </c>
      <c r="O419" s="1" t="s">
        <v>30</v>
      </c>
      <c r="P419" s="4">
        <v>234945</v>
      </c>
      <c r="Q419" s="5">
        <v>9</v>
      </c>
      <c r="R419" s="1" t="s">
        <v>38</v>
      </c>
      <c r="T419" s="1" t="s">
        <v>39</v>
      </c>
      <c r="U419" s="4">
        <v>299484.34000000003</v>
      </c>
      <c r="V419" s="5">
        <v>18</v>
      </c>
      <c r="W419" s="5">
        <v>0</v>
      </c>
      <c r="Y419" s="1" t="s">
        <v>72</v>
      </c>
      <c r="Z419" s="3">
        <v>46143</v>
      </c>
      <c r="AA419" s="1" t="s">
        <v>41</v>
      </c>
      <c r="AB419" s="1" t="s">
        <v>42</v>
      </c>
      <c r="AC419" t="b">
        <f t="shared" si="24"/>
        <v>0</v>
      </c>
      <c r="AD419" t="b">
        <f t="shared" si="25"/>
        <v>0</v>
      </c>
      <c r="AE419" t="b">
        <f t="shared" si="26"/>
        <v>0</v>
      </c>
      <c r="AF419" t="b">
        <f t="shared" si="27"/>
        <v>0</v>
      </c>
    </row>
    <row r="420" spans="1:32">
      <c r="A420" t="s">
        <v>1598</v>
      </c>
      <c r="B420" s="1" t="s">
        <v>1599</v>
      </c>
      <c r="C420" s="2">
        <v>46182.791215277801</v>
      </c>
      <c r="D420" s="1" t="s">
        <v>30</v>
      </c>
      <c r="E420" s="1" t="s">
        <v>1469</v>
      </c>
      <c r="F420" s="1" t="s">
        <v>443</v>
      </c>
      <c r="H420" s="1" t="s">
        <v>1600</v>
      </c>
      <c r="I420" s="1" t="s">
        <v>63</v>
      </c>
      <c r="J420" s="1" t="s">
        <v>819</v>
      </c>
      <c r="K420" s="1" t="s">
        <v>35</v>
      </c>
      <c r="L420" t="s">
        <v>443</v>
      </c>
      <c r="M420" s="1" t="s">
        <v>45</v>
      </c>
      <c r="O420" s="1" t="s">
        <v>30</v>
      </c>
      <c r="P420" s="4">
        <v>240000</v>
      </c>
      <c r="Q420" s="5">
        <v>12</v>
      </c>
      <c r="T420" s="1" t="s">
        <v>1471</v>
      </c>
      <c r="U420" s="4">
        <v>94247.99</v>
      </c>
      <c r="V420" s="5">
        <v>24</v>
      </c>
      <c r="W420" s="5">
        <v>0</v>
      </c>
      <c r="Y420" s="1" t="s">
        <v>72</v>
      </c>
      <c r="Z420" s="3">
        <v>46203</v>
      </c>
      <c r="AA420" s="1" t="s">
        <v>237</v>
      </c>
      <c r="AB420" s="1" t="s">
        <v>238</v>
      </c>
      <c r="AC420" t="b">
        <f t="shared" si="24"/>
        <v>0</v>
      </c>
      <c r="AD420" t="b">
        <f t="shared" si="25"/>
        <v>0</v>
      </c>
      <c r="AE420" t="b">
        <f t="shared" si="26"/>
        <v>0</v>
      </c>
      <c r="AF420" t="b">
        <f t="shared" si="27"/>
        <v>0</v>
      </c>
    </row>
    <row r="421" spans="1:32">
      <c r="A421" t="s">
        <v>1601</v>
      </c>
      <c r="B421" s="1" t="s">
        <v>1602</v>
      </c>
      <c r="C421" s="2">
        <v>46107.554606481499</v>
      </c>
      <c r="D421" s="1" t="s">
        <v>30</v>
      </c>
      <c r="E421" s="1" t="s">
        <v>1312</v>
      </c>
      <c r="F421" s="1" t="s">
        <v>952</v>
      </c>
      <c r="G421" s="3">
        <v>46107</v>
      </c>
      <c r="H421" s="1" t="s">
        <v>1343</v>
      </c>
      <c r="I421" s="1" t="s">
        <v>63</v>
      </c>
      <c r="J421" s="1" t="s">
        <v>35</v>
      </c>
      <c r="K421" s="1" t="s">
        <v>1603</v>
      </c>
      <c r="L421" t="s">
        <v>952</v>
      </c>
      <c r="N421" s="3">
        <v>46107</v>
      </c>
      <c r="O421" s="1" t="s">
        <v>30</v>
      </c>
      <c r="P421" s="4">
        <v>240000</v>
      </c>
      <c r="Q421" s="5">
        <v>12</v>
      </c>
      <c r="R421" s="1" t="s">
        <v>38</v>
      </c>
      <c r="T421" s="1" t="s">
        <v>39</v>
      </c>
      <c r="U421" s="4">
        <v>295703.89</v>
      </c>
      <c r="V421" s="5">
        <v>36</v>
      </c>
      <c r="W421" s="5">
        <v>0</v>
      </c>
      <c r="Y421" s="1" t="s">
        <v>72</v>
      </c>
      <c r="Z421" s="3">
        <v>46107</v>
      </c>
      <c r="AA421" s="1" t="s">
        <v>41</v>
      </c>
      <c r="AB421" s="1" t="s">
        <v>42</v>
      </c>
      <c r="AC421" t="b">
        <f t="shared" si="24"/>
        <v>1</v>
      </c>
      <c r="AD421" t="b">
        <f t="shared" si="25"/>
        <v>0</v>
      </c>
      <c r="AE421" t="b">
        <f t="shared" si="26"/>
        <v>0</v>
      </c>
      <c r="AF421" t="b">
        <f t="shared" si="27"/>
        <v>0</v>
      </c>
    </row>
    <row r="422" spans="1:32">
      <c r="A422" t="s">
        <v>1604</v>
      </c>
      <c r="B422" s="1" t="s">
        <v>1605</v>
      </c>
      <c r="C422" s="2">
        <v>46136.679861111101</v>
      </c>
      <c r="D422" s="1" t="s">
        <v>30</v>
      </c>
      <c r="E422" s="1" t="s">
        <v>1105</v>
      </c>
      <c r="F422" s="1" t="s">
        <v>76</v>
      </c>
      <c r="G422" s="3">
        <v>46143</v>
      </c>
      <c r="H422" s="1" t="s">
        <v>1106</v>
      </c>
      <c r="I422" s="1" t="s">
        <v>63</v>
      </c>
      <c r="J422" s="1" t="s">
        <v>35</v>
      </c>
      <c r="K422" s="1" t="s">
        <v>202</v>
      </c>
      <c r="L422" t="s">
        <v>76</v>
      </c>
      <c r="M422" s="1" t="s">
        <v>45</v>
      </c>
      <c r="N422" s="3">
        <v>46136</v>
      </c>
      <c r="O422" s="1" t="s">
        <v>30</v>
      </c>
      <c r="P422" s="4">
        <v>248875</v>
      </c>
      <c r="Q422" s="5">
        <v>11</v>
      </c>
      <c r="R422" s="1" t="s">
        <v>38</v>
      </c>
      <c r="T422" s="1" t="s">
        <v>39</v>
      </c>
      <c r="U422" s="4">
        <v>317240.90999999997</v>
      </c>
      <c r="V422" s="5">
        <v>21</v>
      </c>
      <c r="W422" s="5">
        <v>0</v>
      </c>
      <c r="Y422" s="1" t="s">
        <v>72</v>
      </c>
      <c r="Z422" s="3">
        <v>46143</v>
      </c>
      <c r="AA422" s="1" t="s">
        <v>41</v>
      </c>
      <c r="AB422" s="1" t="s">
        <v>42</v>
      </c>
      <c r="AC422" t="b">
        <f t="shared" si="24"/>
        <v>0</v>
      </c>
      <c r="AD422" t="b">
        <f t="shared" si="25"/>
        <v>0</v>
      </c>
      <c r="AE422" t="b">
        <f t="shared" si="26"/>
        <v>0</v>
      </c>
      <c r="AF422" t="b">
        <f t="shared" si="27"/>
        <v>0</v>
      </c>
    </row>
    <row r="423" spans="1:32">
      <c r="A423" t="s">
        <v>1606</v>
      </c>
      <c r="B423" s="1" t="s">
        <v>1607</v>
      </c>
      <c r="C423" s="2">
        <v>46140.736747685201</v>
      </c>
      <c r="D423" s="1" t="s">
        <v>30</v>
      </c>
      <c r="E423" s="1" t="s">
        <v>1608</v>
      </c>
      <c r="F423" s="1" t="s">
        <v>1317</v>
      </c>
      <c r="G423" s="3">
        <v>46140</v>
      </c>
      <c r="H423" s="1" t="s">
        <v>1609</v>
      </c>
      <c r="I423" s="1" t="s">
        <v>63</v>
      </c>
      <c r="J423" s="1" t="s">
        <v>64</v>
      </c>
      <c r="K423" s="1" t="s">
        <v>35</v>
      </c>
      <c r="L423" t="s">
        <v>1317</v>
      </c>
      <c r="M423" s="1" t="s">
        <v>45</v>
      </c>
      <c r="N423" s="3">
        <v>46140</v>
      </c>
      <c r="O423" s="1" t="s">
        <v>30</v>
      </c>
      <c r="P423" s="4">
        <v>250000</v>
      </c>
      <c r="Q423" s="5">
        <v>5</v>
      </c>
      <c r="R423" s="1" t="s">
        <v>38</v>
      </c>
      <c r="T423" s="1" t="s">
        <v>39</v>
      </c>
      <c r="U423" s="4">
        <v>319400.01</v>
      </c>
      <c r="V423" s="5">
        <v>0</v>
      </c>
      <c r="W423" s="5">
        <v>200</v>
      </c>
      <c r="Y423" s="1" t="s">
        <v>961</v>
      </c>
      <c r="Z423" s="3">
        <v>46140</v>
      </c>
      <c r="AA423" s="1" t="s">
        <v>41</v>
      </c>
      <c r="AB423" s="1" t="s">
        <v>42</v>
      </c>
      <c r="AC423" t="b">
        <f t="shared" si="24"/>
        <v>0</v>
      </c>
      <c r="AD423" t="b">
        <f t="shared" si="25"/>
        <v>0</v>
      </c>
      <c r="AE423" t="b">
        <f t="shared" si="26"/>
        <v>0</v>
      </c>
      <c r="AF423" t="b">
        <f t="shared" si="27"/>
        <v>0</v>
      </c>
    </row>
    <row r="424" spans="1:32">
      <c r="A424" t="s">
        <v>1610</v>
      </c>
      <c r="B424" s="1" t="s">
        <v>1611</v>
      </c>
      <c r="C424" s="2">
        <v>46140.7496875</v>
      </c>
      <c r="D424" s="1" t="s">
        <v>30</v>
      </c>
      <c r="E424" s="1" t="s">
        <v>1316</v>
      </c>
      <c r="F424" s="1" t="s">
        <v>1317</v>
      </c>
      <c r="G424" s="3">
        <v>46143</v>
      </c>
      <c r="H424" s="1" t="s">
        <v>1612</v>
      </c>
      <c r="I424" s="1" t="s">
        <v>34</v>
      </c>
      <c r="J424" s="1" t="s">
        <v>226</v>
      </c>
      <c r="K424" s="1" t="s">
        <v>35</v>
      </c>
      <c r="L424" t="s">
        <v>1317</v>
      </c>
      <c r="M424" s="1" t="s">
        <v>45</v>
      </c>
      <c r="N424" s="3">
        <v>46140</v>
      </c>
      <c r="O424" s="1" t="s">
        <v>30</v>
      </c>
      <c r="P424" s="4">
        <v>250000</v>
      </c>
      <c r="Q424" s="5">
        <v>50</v>
      </c>
      <c r="R424" s="1" t="s">
        <v>38</v>
      </c>
      <c r="S424" s="5">
        <v>11000</v>
      </c>
      <c r="T424" s="1" t="s">
        <v>39</v>
      </c>
      <c r="U424" s="4">
        <v>319400.01</v>
      </c>
      <c r="Y424" s="1" t="s">
        <v>961</v>
      </c>
      <c r="Z424" s="3">
        <v>46143</v>
      </c>
      <c r="AA424" s="1" t="s">
        <v>41</v>
      </c>
      <c r="AB424" s="1" t="s">
        <v>42</v>
      </c>
      <c r="AC424" t="b">
        <f t="shared" si="24"/>
        <v>1</v>
      </c>
      <c r="AD424" t="b">
        <f t="shared" si="25"/>
        <v>0</v>
      </c>
      <c r="AE424" t="b">
        <f t="shared" si="26"/>
        <v>0</v>
      </c>
      <c r="AF424" t="b">
        <f t="shared" si="27"/>
        <v>0</v>
      </c>
    </row>
    <row r="425" spans="1:32">
      <c r="A425" t="s">
        <v>1613</v>
      </c>
      <c r="B425" s="1" t="s">
        <v>1614</v>
      </c>
      <c r="C425" s="2">
        <v>46142.568958333301</v>
      </c>
      <c r="D425" s="1" t="s">
        <v>30</v>
      </c>
      <c r="E425" s="1" t="s">
        <v>1615</v>
      </c>
      <c r="F425" s="1" t="s">
        <v>959</v>
      </c>
      <c r="G425" s="3">
        <v>46142</v>
      </c>
      <c r="H425" s="1" t="s">
        <v>1616</v>
      </c>
      <c r="I425" s="1" t="s">
        <v>63</v>
      </c>
      <c r="J425" s="1" t="s">
        <v>35</v>
      </c>
      <c r="K425" s="1" t="s">
        <v>64</v>
      </c>
      <c r="L425" t="s">
        <v>959</v>
      </c>
      <c r="M425" s="1" t="s">
        <v>45</v>
      </c>
      <c r="N425" s="3">
        <v>46142</v>
      </c>
      <c r="O425" s="1" t="s">
        <v>30</v>
      </c>
      <c r="P425" s="4">
        <v>250000</v>
      </c>
      <c r="Q425" s="5">
        <v>12</v>
      </c>
      <c r="R425" s="1" t="s">
        <v>38</v>
      </c>
      <c r="T425" s="1" t="s">
        <v>39</v>
      </c>
      <c r="U425" s="4">
        <v>320350.09000000003</v>
      </c>
      <c r="V425" s="5">
        <v>36</v>
      </c>
      <c r="W425" s="5">
        <v>0</v>
      </c>
      <c r="Y425" s="1" t="s">
        <v>961</v>
      </c>
      <c r="Z425" s="3">
        <v>46142</v>
      </c>
      <c r="AA425" s="1" t="s">
        <v>41</v>
      </c>
      <c r="AB425" s="1" t="s">
        <v>42</v>
      </c>
      <c r="AC425" t="b">
        <f t="shared" si="24"/>
        <v>1</v>
      </c>
      <c r="AD425" t="b">
        <f t="shared" si="25"/>
        <v>0</v>
      </c>
      <c r="AE425" t="b">
        <f t="shared" si="26"/>
        <v>0</v>
      </c>
      <c r="AF425" t="b">
        <f t="shared" si="27"/>
        <v>0</v>
      </c>
    </row>
    <row r="426" spans="1:32">
      <c r="A426" t="s">
        <v>1617</v>
      </c>
      <c r="B426" s="1" t="s">
        <v>1618</v>
      </c>
      <c r="C426" s="2">
        <v>46080.597824074102</v>
      </c>
      <c r="D426" s="1" t="s">
        <v>30</v>
      </c>
      <c r="E426" s="1" t="s">
        <v>1453</v>
      </c>
      <c r="F426" s="1" t="s">
        <v>266</v>
      </c>
      <c r="G426" s="3">
        <v>46080</v>
      </c>
      <c r="H426" s="1" t="s">
        <v>1454</v>
      </c>
      <c r="I426" s="1" t="s">
        <v>97</v>
      </c>
      <c r="J426" s="1" t="s">
        <v>35</v>
      </c>
      <c r="K426" s="1" t="s">
        <v>35</v>
      </c>
      <c r="L426" t="s">
        <v>266</v>
      </c>
      <c r="N426" s="3">
        <v>46080</v>
      </c>
      <c r="O426" s="1" t="s">
        <v>30</v>
      </c>
      <c r="P426" s="4">
        <v>250800</v>
      </c>
      <c r="Q426" s="5">
        <v>100</v>
      </c>
      <c r="R426" s="1" t="s">
        <v>38</v>
      </c>
      <c r="T426" s="1" t="s">
        <v>39</v>
      </c>
      <c r="U426" s="4">
        <v>309462.05</v>
      </c>
      <c r="Y426" s="1" t="s">
        <v>72</v>
      </c>
      <c r="Z426" s="3">
        <v>46080</v>
      </c>
      <c r="AA426" s="1" t="s">
        <v>41</v>
      </c>
      <c r="AB426" s="1" t="s">
        <v>42</v>
      </c>
      <c r="AC426" t="b">
        <f t="shared" si="24"/>
        <v>1</v>
      </c>
      <c r="AD426" t="b">
        <f t="shared" si="25"/>
        <v>0</v>
      </c>
      <c r="AE426" t="b">
        <f t="shared" si="26"/>
        <v>0</v>
      </c>
      <c r="AF426" t="b">
        <f t="shared" si="27"/>
        <v>0</v>
      </c>
    </row>
    <row r="427" spans="1:32">
      <c r="A427" t="s">
        <v>1619</v>
      </c>
      <c r="B427" s="1" t="s">
        <v>1620</v>
      </c>
      <c r="C427" s="2">
        <v>46029.815856481502</v>
      </c>
      <c r="D427" s="1" t="s">
        <v>30</v>
      </c>
      <c r="E427" s="1" t="s">
        <v>265</v>
      </c>
      <c r="F427" s="1" t="s">
        <v>266</v>
      </c>
      <c r="G427" s="3">
        <v>46029</v>
      </c>
      <c r="H427" s="1" t="s">
        <v>267</v>
      </c>
      <c r="I427" s="1" t="s">
        <v>34</v>
      </c>
      <c r="J427" s="1" t="s">
        <v>342</v>
      </c>
      <c r="K427" s="1" t="s">
        <v>35</v>
      </c>
      <c r="L427" t="s">
        <v>266</v>
      </c>
      <c r="N427" s="3">
        <v>46029</v>
      </c>
      <c r="O427" s="1" t="s">
        <v>30</v>
      </c>
      <c r="P427" s="4">
        <v>251000</v>
      </c>
      <c r="Q427" s="5">
        <v>60</v>
      </c>
      <c r="R427" s="1" t="s">
        <v>65</v>
      </c>
      <c r="S427" s="5">
        <v>4800</v>
      </c>
      <c r="T427" s="1" t="s">
        <v>39</v>
      </c>
      <c r="U427" s="4">
        <v>298037.46999999997</v>
      </c>
      <c r="Y427" s="1" t="s">
        <v>72</v>
      </c>
      <c r="Z427" s="3">
        <v>46029</v>
      </c>
      <c r="AA427" s="1" t="s">
        <v>41</v>
      </c>
      <c r="AB427" s="1" t="s">
        <v>42</v>
      </c>
      <c r="AC427" t="b">
        <f t="shared" si="24"/>
        <v>0</v>
      </c>
      <c r="AD427" t="b">
        <f t="shared" si="25"/>
        <v>0</v>
      </c>
      <c r="AE427" t="b">
        <f t="shared" si="26"/>
        <v>0</v>
      </c>
      <c r="AF427" t="b">
        <f t="shared" si="27"/>
        <v>0</v>
      </c>
    </row>
    <row r="428" spans="1:32">
      <c r="A428" t="s">
        <v>1621</v>
      </c>
      <c r="B428" s="1" t="s">
        <v>1622</v>
      </c>
      <c r="C428" s="2">
        <v>46107.5545949074</v>
      </c>
      <c r="D428" s="1" t="s">
        <v>30</v>
      </c>
      <c r="E428" s="1" t="s">
        <v>1312</v>
      </c>
      <c r="F428" s="1" t="s">
        <v>952</v>
      </c>
      <c r="G428" s="3">
        <v>46107</v>
      </c>
      <c r="H428" s="1" t="s">
        <v>1343</v>
      </c>
      <c r="I428" s="1" t="s">
        <v>63</v>
      </c>
      <c r="J428" s="1" t="s">
        <v>35</v>
      </c>
      <c r="K428" s="1" t="s">
        <v>91</v>
      </c>
      <c r="L428" t="s">
        <v>952</v>
      </c>
      <c r="N428" s="3">
        <v>46107</v>
      </c>
      <c r="O428" s="1" t="s">
        <v>30</v>
      </c>
      <c r="P428" s="4">
        <v>270000</v>
      </c>
      <c r="Q428" s="5">
        <v>10</v>
      </c>
      <c r="R428" s="1" t="s">
        <v>38</v>
      </c>
      <c r="T428" s="1" t="s">
        <v>39</v>
      </c>
      <c r="U428" s="4">
        <v>332666.88</v>
      </c>
      <c r="V428" s="5">
        <v>31</v>
      </c>
      <c r="W428" s="5">
        <v>0</v>
      </c>
      <c r="Y428" s="1" t="s">
        <v>72</v>
      </c>
      <c r="Z428" s="3">
        <v>46107</v>
      </c>
      <c r="AA428" s="1" t="s">
        <v>41</v>
      </c>
      <c r="AB428" s="1" t="s">
        <v>42</v>
      </c>
      <c r="AC428" t="b">
        <f t="shared" si="24"/>
        <v>1</v>
      </c>
      <c r="AD428" t="b">
        <f t="shared" si="25"/>
        <v>0</v>
      </c>
      <c r="AE428" t="b">
        <f t="shared" si="26"/>
        <v>0</v>
      </c>
      <c r="AF428" t="b">
        <f t="shared" si="27"/>
        <v>0</v>
      </c>
    </row>
    <row r="429" spans="1:32">
      <c r="A429" t="s">
        <v>1623</v>
      </c>
      <c r="B429" s="1" t="s">
        <v>1624</v>
      </c>
      <c r="C429" s="2">
        <v>46153.878229166701</v>
      </c>
      <c r="D429" s="1" t="s">
        <v>30</v>
      </c>
      <c r="E429" s="1" t="s">
        <v>1625</v>
      </c>
      <c r="F429" s="1" t="s">
        <v>274</v>
      </c>
      <c r="G429" s="3">
        <v>46204</v>
      </c>
      <c r="H429" s="1" t="s">
        <v>1626</v>
      </c>
      <c r="I429" s="1" t="s">
        <v>63</v>
      </c>
      <c r="J429" s="1" t="s">
        <v>181</v>
      </c>
      <c r="K429" s="1" t="s">
        <v>35</v>
      </c>
      <c r="L429" t="s">
        <v>274</v>
      </c>
      <c r="M429" s="1" t="s">
        <v>45</v>
      </c>
      <c r="N429" s="3">
        <v>46153</v>
      </c>
      <c r="O429" s="1" t="s">
        <v>30</v>
      </c>
      <c r="P429" s="4">
        <v>298434</v>
      </c>
      <c r="Q429" s="5">
        <v>15</v>
      </c>
      <c r="R429" s="1" t="s">
        <v>38</v>
      </c>
      <c r="T429" s="1" t="s">
        <v>39</v>
      </c>
      <c r="U429" s="4">
        <v>386800.34</v>
      </c>
      <c r="V429" s="5">
        <v>30</v>
      </c>
      <c r="W429" s="5">
        <v>0</v>
      </c>
      <c r="Y429" s="1" t="s">
        <v>72</v>
      </c>
      <c r="Z429" s="3">
        <v>46204</v>
      </c>
      <c r="AA429" s="1" t="s">
        <v>41</v>
      </c>
      <c r="AB429" s="1" t="s">
        <v>42</v>
      </c>
      <c r="AC429" t="b">
        <f t="shared" si="24"/>
        <v>1</v>
      </c>
      <c r="AD429" t="b">
        <f t="shared" si="25"/>
        <v>0</v>
      </c>
      <c r="AE429" t="b">
        <f t="shared" si="26"/>
        <v>0</v>
      </c>
      <c r="AF429" t="b">
        <f t="shared" si="27"/>
        <v>0</v>
      </c>
    </row>
    <row r="430" spans="1:32">
      <c r="A430" t="s">
        <v>1627</v>
      </c>
      <c r="B430" s="1" t="s">
        <v>1628</v>
      </c>
      <c r="C430" s="2">
        <v>46134.555509259299</v>
      </c>
      <c r="D430" s="1" t="s">
        <v>30</v>
      </c>
      <c r="E430" s="1" t="s">
        <v>586</v>
      </c>
      <c r="F430" s="1" t="s">
        <v>587</v>
      </c>
      <c r="G430" s="3">
        <v>46134</v>
      </c>
      <c r="H430" s="1" t="s">
        <v>588</v>
      </c>
      <c r="I430" s="1" t="s">
        <v>63</v>
      </c>
      <c r="J430" s="1" t="s">
        <v>57</v>
      </c>
      <c r="K430" s="1" t="s">
        <v>35</v>
      </c>
      <c r="L430" t="s">
        <v>587</v>
      </c>
      <c r="M430" s="1" t="s">
        <v>45</v>
      </c>
      <c r="N430" s="3">
        <v>46134</v>
      </c>
      <c r="O430" s="1" t="s">
        <v>30</v>
      </c>
      <c r="P430" s="4">
        <v>300000</v>
      </c>
      <c r="Q430" s="5">
        <v>104</v>
      </c>
      <c r="R430" s="1" t="s">
        <v>38</v>
      </c>
      <c r="T430" s="1" t="s">
        <v>39</v>
      </c>
      <c r="U430" s="4">
        <v>383699.99</v>
      </c>
      <c r="V430" s="5">
        <v>0</v>
      </c>
      <c r="W430" s="5">
        <v>323</v>
      </c>
      <c r="Y430" s="1" t="s">
        <v>58</v>
      </c>
      <c r="Z430" s="3">
        <v>46134</v>
      </c>
      <c r="AA430" s="1" t="s">
        <v>41</v>
      </c>
      <c r="AB430" s="1" t="s">
        <v>42</v>
      </c>
      <c r="AC430" t="b">
        <f t="shared" si="24"/>
        <v>1</v>
      </c>
      <c r="AD430" t="b">
        <f t="shared" si="25"/>
        <v>0</v>
      </c>
      <c r="AE430" t="b">
        <f t="shared" si="26"/>
        <v>0</v>
      </c>
      <c r="AF430" t="b">
        <f t="shared" si="27"/>
        <v>0</v>
      </c>
    </row>
    <row r="431" spans="1:32">
      <c r="A431" t="s">
        <v>1629</v>
      </c>
      <c r="B431" s="1" t="s">
        <v>1630</v>
      </c>
      <c r="C431" s="2">
        <v>46149.616435185198</v>
      </c>
      <c r="D431" s="1" t="s">
        <v>30</v>
      </c>
      <c r="E431" s="1" t="s">
        <v>1631</v>
      </c>
      <c r="F431" s="1" t="s">
        <v>1317</v>
      </c>
      <c r="G431" s="3">
        <v>46136</v>
      </c>
      <c r="H431" s="1" t="s">
        <v>1632</v>
      </c>
      <c r="I431" s="1" t="s">
        <v>63</v>
      </c>
      <c r="J431" s="1" t="s">
        <v>64</v>
      </c>
      <c r="K431" s="1" t="s">
        <v>35</v>
      </c>
      <c r="L431" t="s">
        <v>1317</v>
      </c>
      <c r="M431" s="1" t="s">
        <v>45</v>
      </c>
      <c r="N431" s="3">
        <v>46149</v>
      </c>
      <c r="O431" s="1" t="s">
        <v>30</v>
      </c>
      <c r="P431" s="4">
        <v>300000</v>
      </c>
      <c r="Q431" s="5">
        <v>25</v>
      </c>
      <c r="R431" s="1" t="s">
        <v>38</v>
      </c>
      <c r="T431" s="1" t="s">
        <v>39</v>
      </c>
      <c r="U431" s="4">
        <v>389280.04</v>
      </c>
      <c r="V431" s="5">
        <v>0</v>
      </c>
      <c r="W431" s="5">
        <v>350</v>
      </c>
      <c r="Y431" s="1" t="s">
        <v>961</v>
      </c>
      <c r="Z431" s="3">
        <v>46136</v>
      </c>
      <c r="AA431" s="1" t="s">
        <v>41</v>
      </c>
      <c r="AB431" s="1" t="s">
        <v>42</v>
      </c>
      <c r="AC431" t="b">
        <f t="shared" si="24"/>
        <v>0</v>
      </c>
      <c r="AD431" t="b">
        <f t="shared" si="25"/>
        <v>0</v>
      </c>
      <c r="AE431" t="b">
        <f t="shared" si="26"/>
        <v>0</v>
      </c>
      <c r="AF431" t="b">
        <f t="shared" si="27"/>
        <v>0</v>
      </c>
    </row>
    <row r="432" spans="1:32">
      <c r="A432" t="s">
        <v>1633</v>
      </c>
      <c r="B432" s="1" t="s">
        <v>1634</v>
      </c>
      <c r="C432" s="2">
        <v>46181.6550347222</v>
      </c>
      <c r="D432" s="1" t="s">
        <v>30</v>
      </c>
      <c r="E432" s="1" t="s">
        <v>1635</v>
      </c>
      <c r="F432" s="1" t="s">
        <v>242</v>
      </c>
      <c r="H432" s="1" t="s">
        <v>1636</v>
      </c>
      <c r="I432" s="1" t="s">
        <v>34</v>
      </c>
      <c r="J432" s="1" t="s">
        <v>35</v>
      </c>
      <c r="K432" s="1" t="s">
        <v>232</v>
      </c>
      <c r="L432" t="s">
        <v>242</v>
      </c>
      <c r="M432" s="1" t="s">
        <v>37</v>
      </c>
      <c r="O432" s="1" t="s">
        <v>30</v>
      </c>
      <c r="P432" s="4">
        <v>300000</v>
      </c>
      <c r="Q432" s="5">
        <v>15</v>
      </c>
      <c r="S432" s="5">
        <v>4000</v>
      </c>
      <c r="T432" s="1" t="s">
        <v>39</v>
      </c>
      <c r="U432" s="4">
        <v>380189.96</v>
      </c>
      <c r="Y432" s="1" t="s">
        <v>115</v>
      </c>
      <c r="Z432" s="3">
        <v>46283</v>
      </c>
      <c r="AA432" s="1" t="s">
        <v>237</v>
      </c>
      <c r="AB432" s="1" t="s">
        <v>238</v>
      </c>
      <c r="AC432" t="b">
        <f t="shared" si="24"/>
        <v>0</v>
      </c>
      <c r="AD432" t="b">
        <f t="shared" si="25"/>
        <v>0</v>
      </c>
      <c r="AE432" t="b">
        <f t="shared" si="26"/>
        <v>0</v>
      </c>
      <c r="AF432" t="b">
        <f t="shared" si="27"/>
        <v>0</v>
      </c>
    </row>
    <row r="433" spans="1:32">
      <c r="A433" t="s">
        <v>1637</v>
      </c>
      <c r="B433" s="1" t="s">
        <v>1638</v>
      </c>
      <c r="C433" s="2">
        <v>46085.836504629602</v>
      </c>
      <c r="D433" s="1" t="s">
        <v>30</v>
      </c>
      <c r="E433" s="1" t="s">
        <v>1639</v>
      </c>
      <c r="F433" s="1" t="s">
        <v>1317</v>
      </c>
      <c r="G433" s="3">
        <v>46079</v>
      </c>
      <c r="H433" s="1" t="s">
        <v>1640</v>
      </c>
      <c r="I433" s="1" t="s">
        <v>34</v>
      </c>
      <c r="J433" s="1" t="s">
        <v>64</v>
      </c>
      <c r="K433" s="1" t="s">
        <v>35</v>
      </c>
      <c r="L433" t="s">
        <v>1317</v>
      </c>
      <c r="M433" s="1" t="s">
        <v>45</v>
      </c>
      <c r="N433" s="3">
        <v>46085</v>
      </c>
      <c r="O433" s="1" t="s">
        <v>30</v>
      </c>
      <c r="P433" s="4">
        <v>300000</v>
      </c>
      <c r="Q433" s="5">
        <v>30</v>
      </c>
      <c r="R433" s="1" t="s">
        <v>38</v>
      </c>
      <c r="S433" s="5">
        <v>5000</v>
      </c>
      <c r="T433" s="1" t="s">
        <v>39</v>
      </c>
      <c r="U433" s="4">
        <v>368940.12</v>
      </c>
      <c r="Y433" s="1" t="s">
        <v>961</v>
      </c>
      <c r="Z433" s="3">
        <v>46079</v>
      </c>
      <c r="AA433" s="1" t="s">
        <v>41</v>
      </c>
      <c r="AB433" s="1" t="s">
        <v>42</v>
      </c>
      <c r="AC433" t="b">
        <f t="shared" si="24"/>
        <v>0</v>
      </c>
      <c r="AD433" t="b">
        <f t="shared" si="25"/>
        <v>0</v>
      </c>
      <c r="AE433" t="b">
        <f t="shared" si="26"/>
        <v>0</v>
      </c>
      <c r="AF433" t="b">
        <f t="shared" si="27"/>
        <v>0</v>
      </c>
    </row>
    <row r="434" spans="1:32">
      <c r="A434" t="s">
        <v>1641</v>
      </c>
      <c r="B434" s="1" t="s">
        <v>1642</v>
      </c>
      <c r="C434" s="2">
        <v>46085.790451388901</v>
      </c>
      <c r="D434" s="1" t="s">
        <v>30</v>
      </c>
      <c r="E434" s="1" t="s">
        <v>1415</v>
      </c>
      <c r="F434" s="1" t="s">
        <v>652</v>
      </c>
      <c r="G434" s="3">
        <v>46085</v>
      </c>
      <c r="H434" s="1" t="s">
        <v>1416</v>
      </c>
      <c r="I434" s="1" t="s">
        <v>63</v>
      </c>
      <c r="J434" s="1" t="s">
        <v>35</v>
      </c>
      <c r="K434" s="1" t="s">
        <v>57</v>
      </c>
      <c r="L434" t="s">
        <v>652</v>
      </c>
      <c r="M434" s="1" t="s">
        <v>37</v>
      </c>
      <c r="N434" s="3">
        <v>46085</v>
      </c>
      <c r="O434" s="1" t="s">
        <v>30</v>
      </c>
      <c r="P434" s="4">
        <v>305000</v>
      </c>
      <c r="Q434" s="5">
        <v>29</v>
      </c>
      <c r="R434" s="1" t="s">
        <v>38</v>
      </c>
      <c r="T434" s="1" t="s">
        <v>39</v>
      </c>
      <c r="U434" s="4">
        <v>375089.12</v>
      </c>
      <c r="V434" s="5">
        <v>47</v>
      </c>
      <c r="W434" s="5">
        <v>10</v>
      </c>
      <c r="Y434" s="1" t="s">
        <v>58</v>
      </c>
      <c r="Z434" s="3">
        <v>46085</v>
      </c>
      <c r="AA434" s="1" t="s">
        <v>41</v>
      </c>
      <c r="AB434" s="1" t="s">
        <v>42</v>
      </c>
      <c r="AC434" t="b">
        <f t="shared" si="24"/>
        <v>1</v>
      </c>
      <c r="AD434" t="b">
        <f t="shared" si="25"/>
        <v>0</v>
      </c>
      <c r="AE434" t="b">
        <f t="shared" si="26"/>
        <v>0</v>
      </c>
      <c r="AF434" t="b">
        <f t="shared" si="27"/>
        <v>0</v>
      </c>
    </row>
    <row r="435" spans="1:32">
      <c r="A435" t="s">
        <v>1643</v>
      </c>
      <c r="B435" s="1" t="s">
        <v>1644</v>
      </c>
      <c r="C435" s="2">
        <v>46119.651481481502</v>
      </c>
      <c r="D435" s="1" t="s">
        <v>30</v>
      </c>
      <c r="E435" s="1" t="s">
        <v>273</v>
      </c>
      <c r="F435" s="1" t="s">
        <v>274</v>
      </c>
      <c r="G435" s="3">
        <v>46029</v>
      </c>
      <c r="H435" s="1" t="s">
        <v>777</v>
      </c>
      <c r="I435" s="1" t="s">
        <v>34</v>
      </c>
      <c r="J435" s="1" t="s">
        <v>35</v>
      </c>
      <c r="K435" s="1" t="s">
        <v>144</v>
      </c>
      <c r="L435" t="s">
        <v>274</v>
      </c>
      <c r="M435" s="1" t="s">
        <v>37</v>
      </c>
      <c r="N435" s="3">
        <v>46029</v>
      </c>
      <c r="O435" s="1" t="s">
        <v>30</v>
      </c>
      <c r="P435" s="4">
        <v>309621</v>
      </c>
      <c r="Q435" s="5">
        <v>62</v>
      </c>
      <c r="R435" s="1" t="s">
        <v>38</v>
      </c>
      <c r="S435" s="5">
        <v>10083</v>
      </c>
      <c r="T435" s="1" t="s">
        <v>39</v>
      </c>
      <c r="U435" s="4">
        <v>366126.94</v>
      </c>
      <c r="Y435" s="1" t="s">
        <v>72</v>
      </c>
      <c r="Z435" s="3">
        <v>46029</v>
      </c>
      <c r="AA435" s="1" t="s">
        <v>41</v>
      </c>
      <c r="AB435" s="1" t="s">
        <v>42</v>
      </c>
      <c r="AC435" t="b">
        <f t="shared" si="24"/>
        <v>0</v>
      </c>
      <c r="AD435" t="b">
        <f t="shared" si="25"/>
        <v>0</v>
      </c>
      <c r="AE435" t="b">
        <f t="shared" si="26"/>
        <v>0</v>
      </c>
      <c r="AF435" t="b">
        <f t="shared" si="27"/>
        <v>0</v>
      </c>
    </row>
    <row r="436" spans="1:32">
      <c r="A436" t="s">
        <v>1645</v>
      </c>
      <c r="B436" s="1" t="s">
        <v>1646</v>
      </c>
      <c r="C436" s="2">
        <v>46150.614664351902</v>
      </c>
      <c r="D436" s="1" t="s">
        <v>30</v>
      </c>
      <c r="E436" s="1" t="s">
        <v>1571</v>
      </c>
      <c r="F436" s="1" t="s">
        <v>533</v>
      </c>
      <c r="G436" s="3">
        <v>46163</v>
      </c>
      <c r="H436" s="1" t="s">
        <v>1647</v>
      </c>
      <c r="I436" s="1" t="s">
        <v>63</v>
      </c>
      <c r="J436" s="1" t="s">
        <v>78</v>
      </c>
      <c r="K436" s="1" t="s">
        <v>35</v>
      </c>
      <c r="L436" t="s">
        <v>652</v>
      </c>
      <c r="M436" s="1" t="s">
        <v>45</v>
      </c>
      <c r="N436" s="3">
        <v>46150</v>
      </c>
      <c r="O436" s="1" t="s">
        <v>30</v>
      </c>
      <c r="P436" s="4">
        <v>330500</v>
      </c>
      <c r="Q436" s="5">
        <v>309</v>
      </c>
      <c r="R436" s="1" t="s">
        <v>38</v>
      </c>
      <c r="T436" s="1" t="s">
        <v>39</v>
      </c>
      <c r="U436" s="4">
        <v>428856.84</v>
      </c>
      <c r="V436" s="5">
        <v>16</v>
      </c>
      <c r="W436" s="5">
        <v>0</v>
      </c>
      <c r="Z436" s="3">
        <v>46163</v>
      </c>
      <c r="AA436" s="1" t="s">
        <v>41</v>
      </c>
      <c r="AB436" s="1" t="s">
        <v>208</v>
      </c>
      <c r="AC436" t="b">
        <f t="shared" si="24"/>
        <v>1</v>
      </c>
      <c r="AD436" t="b">
        <f t="shared" si="25"/>
        <v>0</v>
      </c>
      <c r="AE436" t="b">
        <f t="shared" si="26"/>
        <v>0</v>
      </c>
      <c r="AF436" t="b">
        <f t="shared" si="27"/>
        <v>0</v>
      </c>
    </row>
    <row r="437" spans="1:32">
      <c r="A437" t="s">
        <v>1648</v>
      </c>
      <c r="B437" s="1" t="s">
        <v>1649</v>
      </c>
      <c r="C437" s="2">
        <v>46165.8921990741</v>
      </c>
      <c r="D437" s="1" t="s">
        <v>30</v>
      </c>
      <c r="E437" s="1" t="s">
        <v>920</v>
      </c>
      <c r="F437" s="1" t="s">
        <v>266</v>
      </c>
      <c r="G437" s="3">
        <v>46167</v>
      </c>
      <c r="H437" s="1" t="s">
        <v>1650</v>
      </c>
      <c r="I437" s="1" t="s">
        <v>34</v>
      </c>
      <c r="J437" s="1" t="s">
        <v>35</v>
      </c>
      <c r="K437" s="1" t="s">
        <v>812</v>
      </c>
      <c r="L437" t="s">
        <v>266</v>
      </c>
      <c r="N437" s="3">
        <v>46165</v>
      </c>
      <c r="O437" s="1" t="s">
        <v>30</v>
      </c>
      <c r="P437" s="4">
        <v>333649</v>
      </c>
      <c r="Q437" s="5">
        <v>10</v>
      </c>
      <c r="R437" s="1" t="s">
        <v>38</v>
      </c>
      <c r="S437" s="5">
        <v>750</v>
      </c>
      <c r="T437" s="1" t="s">
        <v>39</v>
      </c>
      <c r="U437" s="4">
        <v>429105.87</v>
      </c>
      <c r="Y437" s="1" t="s">
        <v>72</v>
      </c>
      <c r="Z437" s="3">
        <v>46167</v>
      </c>
      <c r="AA437" s="1" t="s">
        <v>41</v>
      </c>
      <c r="AB437" s="1" t="s">
        <v>42</v>
      </c>
      <c r="AC437" t="b">
        <f t="shared" si="24"/>
        <v>0</v>
      </c>
      <c r="AD437" t="b">
        <f t="shared" si="25"/>
        <v>0</v>
      </c>
      <c r="AE437" t="b">
        <f t="shared" si="26"/>
        <v>0</v>
      </c>
      <c r="AF437" t="b">
        <f t="shared" si="27"/>
        <v>0</v>
      </c>
    </row>
    <row r="438" spans="1:32">
      <c r="A438" t="s">
        <v>1651</v>
      </c>
      <c r="B438" s="1" t="s">
        <v>1652</v>
      </c>
      <c r="C438" s="2">
        <v>46168.012939814798</v>
      </c>
      <c r="D438" s="1" t="s">
        <v>30</v>
      </c>
      <c r="E438" s="1" t="s">
        <v>1653</v>
      </c>
      <c r="F438" s="1" t="s">
        <v>883</v>
      </c>
      <c r="G438" s="3">
        <v>46172</v>
      </c>
      <c r="H438" s="1" t="s">
        <v>1654</v>
      </c>
      <c r="I438" s="1" t="s">
        <v>382</v>
      </c>
      <c r="J438" s="1" t="s">
        <v>383</v>
      </c>
      <c r="K438" s="1" t="s">
        <v>35</v>
      </c>
      <c r="L438" t="s">
        <v>883</v>
      </c>
      <c r="M438" s="1" t="s">
        <v>45</v>
      </c>
      <c r="N438" s="3">
        <v>46167</v>
      </c>
      <c r="O438" s="1" t="s">
        <v>30</v>
      </c>
      <c r="P438" s="4">
        <v>339000</v>
      </c>
      <c r="Q438" s="5">
        <v>339</v>
      </c>
      <c r="R438" s="1" t="s">
        <v>38</v>
      </c>
      <c r="T438" s="1" t="s">
        <v>39</v>
      </c>
      <c r="U438" s="4">
        <v>435987.79</v>
      </c>
      <c r="Y438" s="1" t="s">
        <v>72</v>
      </c>
      <c r="Z438" s="3">
        <v>46172</v>
      </c>
      <c r="AA438" s="1" t="s">
        <v>41</v>
      </c>
      <c r="AB438" s="1" t="s">
        <v>42</v>
      </c>
      <c r="AC438" t="b">
        <f t="shared" si="24"/>
        <v>1</v>
      </c>
      <c r="AD438" t="b">
        <f t="shared" si="25"/>
        <v>0</v>
      </c>
      <c r="AE438" t="b">
        <f t="shared" si="26"/>
        <v>0</v>
      </c>
      <c r="AF438" t="b">
        <f t="shared" si="27"/>
        <v>0</v>
      </c>
    </row>
    <row r="439" spans="1:32">
      <c r="A439" t="s">
        <v>1655</v>
      </c>
      <c r="B439" s="1" t="s">
        <v>1656</v>
      </c>
      <c r="C439" s="2">
        <v>46129.597789351901</v>
      </c>
      <c r="D439" s="1" t="s">
        <v>30</v>
      </c>
      <c r="E439" s="1" t="s">
        <v>61</v>
      </c>
      <c r="F439" s="1" t="s">
        <v>533</v>
      </c>
      <c r="G439" s="3">
        <v>46129</v>
      </c>
      <c r="H439" s="1" t="s">
        <v>123</v>
      </c>
      <c r="I439" s="1" t="s">
        <v>63</v>
      </c>
      <c r="J439" s="1" t="s">
        <v>35</v>
      </c>
      <c r="K439" s="1" t="s">
        <v>244</v>
      </c>
      <c r="L439" t="s">
        <v>49</v>
      </c>
      <c r="N439" s="3">
        <v>46129</v>
      </c>
      <c r="O439" s="1" t="s">
        <v>30</v>
      </c>
      <c r="P439" s="4">
        <v>340000</v>
      </c>
      <c r="Q439" s="5">
        <v>100</v>
      </c>
      <c r="R439" s="1" t="s">
        <v>65</v>
      </c>
      <c r="T439" s="1" t="s">
        <v>39</v>
      </c>
      <c r="U439" s="4">
        <v>431833.96</v>
      </c>
      <c r="V439" s="5">
        <v>276</v>
      </c>
      <c r="W439" s="5">
        <v>0</v>
      </c>
      <c r="Z439" s="3">
        <v>46129</v>
      </c>
      <c r="AA439" s="1" t="s">
        <v>41</v>
      </c>
      <c r="AB439" s="1" t="s">
        <v>42</v>
      </c>
      <c r="AC439" t="b">
        <f t="shared" si="24"/>
        <v>1</v>
      </c>
      <c r="AD439" t="b">
        <f t="shared" si="25"/>
        <v>0</v>
      </c>
      <c r="AE439" t="b">
        <f t="shared" si="26"/>
        <v>0</v>
      </c>
      <c r="AF439" t="b">
        <f t="shared" si="27"/>
        <v>0</v>
      </c>
    </row>
    <row r="440" spans="1:32">
      <c r="A440" t="s">
        <v>1657</v>
      </c>
      <c r="B440" s="1" t="s">
        <v>1658</v>
      </c>
      <c r="C440" s="2">
        <v>46153.878125000003</v>
      </c>
      <c r="D440" s="1" t="s">
        <v>30</v>
      </c>
      <c r="E440" s="1" t="s">
        <v>1659</v>
      </c>
      <c r="F440" s="1" t="s">
        <v>274</v>
      </c>
      <c r="G440" s="3">
        <v>46296</v>
      </c>
      <c r="H440" s="1" t="s">
        <v>1660</v>
      </c>
      <c r="I440" s="1" t="s">
        <v>63</v>
      </c>
      <c r="J440" s="1" t="s">
        <v>103</v>
      </c>
      <c r="K440" s="1" t="s">
        <v>35</v>
      </c>
      <c r="L440" t="s">
        <v>274</v>
      </c>
      <c r="M440" s="1" t="s">
        <v>45</v>
      </c>
      <c r="N440" s="3">
        <v>46153</v>
      </c>
      <c r="O440" s="1" t="s">
        <v>30</v>
      </c>
      <c r="P440" s="4">
        <v>349465</v>
      </c>
      <c r="Q440" s="5">
        <v>30</v>
      </c>
      <c r="R440" s="1" t="s">
        <v>38</v>
      </c>
      <c r="T440" s="1" t="s">
        <v>39</v>
      </c>
      <c r="U440" s="4">
        <v>452941.63</v>
      </c>
      <c r="V440" s="5">
        <v>0</v>
      </c>
      <c r="W440" s="5">
        <v>380000</v>
      </c>
      <c r="Y440" s="1" t="s">
        <v>72</v>
      </c>
      <c r="Z440" s="3">
        <v>46296</v>
      </c>
      <c r="AA440" s="1" t="s">
        <v>41</v>
      </c>
      <c r="AB440" s="1" t="s">
        <v>42</v>
      </c>
      <c r="AC440" t="b">
        <f t="shared" si="24"/>
        <v>0</v>
      </c>
      <c r="AD440" t="b">
        <f t="shared" si="25"/>
        <v>0</v>
      </c>
      <c r="AE440" t="b">
        <f t="shared" si="26"/>
        <v>0</v>
      </c>
      <c r="AF440" t="b">
        <f t="shared" si="27"/>
        <v>0</v>
      </c>
    </row>
    <row r="441" spans="1:32">
      <c r="A441" t="s">
        <v>1661</v>
      </c>
      <c r="B441" s="1" t="s">
        <v>1662</v>
      </c>
      <c r="C441" s="2">
        <v>46123.024236111101</v>
      </c>
      <c r="D441" s="1" t="s">
        <v>30</v>
      </c>
      <c r="E441" s="1" t="s">
        <v>1663</v>
      </c>
      <c r="F441" s="1" t="s">
        <v>32</v>
      </c>
      <c r="G441" s="3">
        <v>46119</v>
      </c>
      <c r="H441" s="1" t="s">
        <v>1664</v>
      </c>
      <c r="I441" s="1" t="s">
        <v>34</v>
      </c>
      <c r="J441" s="1" t="s">
        <v>583</v>
      </c>
      <c r="K441" s="1" t="s">
        <v>35</v>
      </c>
      <c r="L441" t="s">
        <v>32</v>
      </c>
      <c r="M441" s="1" t="s">
        <v>45</v>
      </c>
      <c r="N441" s="3">
        <v>46122</v>
      </c>
      <c r="O441" s="1" t="s">
        <v>30</v>
      </c>
      <c r="P441" s="4">
        <v>350000</v>
      </c>
      <c r="Q441" s="5">
        <v>8</v>
      </c>
      <c r="R441" s="1" t="s">
        <v>38</v>
      </c>
      <c r="S441" s="5">
        <v>3500</v>
      </c>
      <c r="T441" s="1" t="s">
        <v>39</v>
      </c>
      <c r="U441" s="4">
        <v>441875.13</v>
      </c>
      <c r="Y441" s="1" t="s">
        <v>40</v>
      </c>
      <c r="Z441" s="3">
        <v>46119</v>
      </c>
      <c r="AA441" s="1" t="s">
        <v>41</v>
      </c>
      <c r="AB441" s="1" t="s">
        <v>42</v>
      </c>
      <c r="AC441" t="b">
        <f t="shared" si="24"/>
        <v>0</v>
      </c>
      <c r="AD441" t="b">
        <f t="shared" si="25"/>
        <v>0</v>
      </c>
      <c r="AE441" t="b">
        <f t="shared" si="26"/>
        <v>0</v>
      </c>
      <c r="AF441" t="b">
        <f t="shared" si="27"/>
        <v>0</v>
      </c>
    </row>
    <row r="442" spans="1:32">
      <c r="A442" t="s">
        <v>1665</v>
      </c>
      <c r="B442" s="1" t="s">
        <v>1666</v>
      </c>
      <c r="C442" s="2">
        <v>46154.737210648098</v>
      </c>
      <c r="D442" s="1" t="s">
        <v>30</v>
      </c>
      <c r="E442" s="1" t="s">
        <v>1316</v>
      </c>
      <c r="F442" s="1" t="s">
        <v>1317</v>
      </c>
      <c r="G442" s="3">
        <v>46157</v>
      </c>
      <c r="H442" s="1" t="s">
        <v>1667</v>
      </c>
      <c r="I442" s="1" t="s">
        <v>63</v>
      </c>
      <c r="J442" s="1" t="s">
        <v>144</v>
      </c>
      <c r="K442" s="1" t="s">
        <v>35</v>
      </c>
      <c r="L442" t="s">
        <v>1317</v>
      </c>
      <c r="M442" s="1" t="s">
        <v>45</v>
      </c>
      <c r="N442" s="3">
        <v>46154</v>
      </c>
      <c r="O442" s="1" t="s">
        <v>30</v>
      </c>
      <c r="P442" s="4">
        <v>350000</v>
      </c>
      <c r="Q442" s="5">
        <v>5</v>
      </c>
      <c r="R442" s="1" t="s">
        <v>38</v>
      </c>
      <c r="T442" s="1" t="s">
        <v>39</v>
      </c>
      <c r="U442" s="4">
        <v>454369.85</v>
      </c>
      <c r="V442" s="5">
        <v>5</v>
      </c>
      <c r="W442" s="5">
        <v>0</v>
      </c>
      <c r="Y442" s="1" t="s">
        <v>961</v>
      </c>
      <c r="Z442" s="3">
        <v>46157</v>
      </c>
      <c r="AA442" s="1" t="s">
        <v>41</v>
      </c>
      <c r="AB442" s="1" t="s">
        <v>42</v>
      </c>
      <c r="AC442" t="b">
        <f t="shared" si="24"/>
        <v>0</v>
      </c>
      <c r="AD442" t="b">
        <f t="shared" si="25"/>
        <v>0</v>
      </c>
      <c r="AE442" t="b">
        <f t="shared" si="26"/>
        <v>0</v>
      </c>
      <c r="AF442" t="b">
        <f t="shared" si="27"/>
        <v>0</v>
      </c>
    </row>
    <row r="443" spans="1:32">
      <c r="A443" t="s">
        <v>1668</v>
      </c>
      <c r="B443" s="1" t="s">
        <v>1669</v>
      </c>
      <c r="C443" s="2">
        <v>46030.691539351901</v>
      </c>
      <c r="D443" s="1" t="s">
        <v>30</v>
      </c>
      <c r="E443" s="1" t="s">
        <v>442</v>
      </c>
      <c r="F443" s="1" t="s">
        <v>443</v>
      </c>
      <c r="G443" s="3">
        <v>46053</v>
      </c>
      <c r="H443" s="1" t="s">
        <v>444</v>
      </c>
      <c r="I443" s="1" t="s">
        <v>63</v>
      </c>
      <c r="J443" s="1" t="s">
        <v>357</v>
      </c>
      <c r="K443" s="1" t="s">
        <v>35</v>
      </c>
      <c r="L443" t="s">
        <v>443</v>
      </c>
      <c r="N443" s="3">
        <v>46030</v>
      </c>
      <c r="O443" s="1" t="s">
        <v>30</v>
      </c>
      <c r="P443" s="4">
        <v>350000</v>
      </c>
      <c r="Q443" s="5">
        <v>20</v>
      </c>
      <c r="R443" s="1" t="s">
        <v>38</v>
      </c>
      <c r="T443" s="1" t="s">
        <v>39</v>
      </c>
      <c r="U443" s="4">
        <v>415590.1</v>
      </c>
      <c r="V443" s="5">
        <v>0</v>
      </c>
      <c r="W443" s="5">
        <v>193</v>
      </c>
      <c r="Y443" s="1" t="s">
        <v>72</v>
      </c>
      <c r="Z443" s="3">
        <v>46053</v>
      </c>
      <c r="AA443" s="1" t="s">
        <v>41</v>
      </c>
      <c r="AB443" s="1" t="s">
        <v>42</v>
      </c>
      <c r="AC443" t="b">
        <f t="shared" si="24"/>
        <v>0</v>
      </c>
      <c r="AD443" t="b">
        <f t="shared" si="25"/>
        <v>0</v>
      </c>
      <c r="AE443" t="b">
        <f t="shared" si="26"/>
        <v>0</v>
      </c>
      <c r="AF443" t="b">
        <f t="shared" si="27"/>
        <v>0</v>
      </c>
    </row>
    <row r="444" spans="1:32">
      <c r="A444" t="s">
        <v>1670</v>
      </c>
      <c r="B444" s="1" t="s">
        <v>1671</v>
      </c>
      <c r="C444" s="2">
        <v>46103.919062499997</v>
      </c>
      <c r="D444" s="1" t="s">
        <v>30</v>
      </c>
      <c r="E444" s="1" t="s">
        <v>31</v>
      </c>
      <c r="F444" s="1" t="s">
        <v>32</v>
      </c>
      <c r="G444" s="3">
        <v>46108</v>
      </c>
      <c r="H444" s="1" t="s">
        <v>33</v>
      </c>
      <c r="I444" s="1" t="s">
        <v>34</v>
      </c>
      <c r="J444" s="1" t="s">
        <v>35</v>
      </c>
      <c r="K444" s="1" t="s">
        <v>1672</v>
      </c>
      <c r="L444" t="s">
        <v>32</v>
      </c>
      <c r="M444" s="1" t="s">
        <v>37</v>
      </c>
      <c r="N444" s="3">
        <v>46103</v>
      </c>
      <c r="O444" s="1" t="s">
        <v>30</v>
      </c>
      <c r="P444" s="4">
        <v>350000</v>
      </c>
      <c r="Q444" s="5">
        <v>1</v>
      </c>
      <c r="R444" s="1" t="s">
        <v>38</v>
      </c>
      <c r="S444" s="5">
        <v>7000</v>
      </c>
      <c r="T444" s="1" t="s">
        <v>39</v>
      </c>
      <c r="U444" s="4">
        <v>430990.03</v>
      </c>
      <c r="Y444" s="1" t="s">
        <v>40</v>
      </c>
      <c r="Z444" s="3">
        <v>46108</v>
      </c>
      <c r="AA444" s="1" t="s">
        <v>41</v>
      </c>
      <c r="AB444" s="1" t="s">
        <v>42</v>
      </c>
      <c r="AC444" t="b">
        <f t="shared" si="24"/>
        <v>0</v>
      </c>
      <c r="AD444" t="b">
        <f t="shared" si="25"/>
        <v>0</v>
      </c>
      <c r="AE444" t="b">
        <f t="shared" si="26"/>
        <v>0</v>
      </c>
      <c r="AF444" t="b">
        <f t="shared" si="27"/>
        <v>0</v>
      </c>
    </row>
    <row r="445" spans="1:32">
      <c r="A445" t="s">
        <v>1673</v>
      </c>
      <c r="B445" s="1" t="s">
        <v>1674</v>
      </c>
      <c r="C445" s="2">
        <v>46103.919074074103</v>
      </c>
      <c r="D445" s="1" t="s">
        <v>30</v>
      </c>
      <c r="E445" s="1" t="s">
        <v>31</v>
      </c>
      <c r="F445" s="1" t="s">
        <v>32</v>
      </c>
      <c r="G445" s="3">
        <v>46108</v>
      </c>
      <c r="H445" s="1" t="s">
        <v>33</v>
      </c>
      <c r="I445" s="1" t="s">
        <v>34</v>
      </c>
      <c r="J445" s="1" t="s">
        <v>1672</v>
      </c>
      <c r="K445" s="1" t="s">
        <v>35</v>
      </c>
      <c r="L445" t="s">
        <v>32</v>
      </c>
      <c r="M445" s="1" t="s">
        <v>45</v>
      </c>
      <c r="N445" s="3">
        <v>46103</v>
      </c>
      <c r="O445" s="1" t="s">
        <v>30</v>
      </c>
      <c r="P445" s="4">
        <v>350000</v>
      </c>
      <c r="Q445" s="5">
        <v>1</v>
      </c>
      <c r="R445" s="1" t="s">
        <v>38</v>
      </c>
      <c r="S445" s="5">
        <v>7000</v>
      </c>
      <c r="T445" s="1" t="s">
        <v>39</v>
      </c>
      <c r="U445" s="4">
        <v>430990.03</v>
      </c>
      <c r="Y445" s="1" t="s">
        <v>40</v>
      </c>
      <c r="Z445" s="3">
        <v>46108</v>
      </c>
      <c r="AA445" s="1" t="s">
        <v>41</v>
      </c>
      <c r="AB445" s="1" t="s">
        <v>42</v>
      </c>
      <c r="AC445" t="b">
        <f t="shared" si="24"/>
        <v>0</v>
      </c>
      <c r="AD445" t="b">
        <f t="shared" si="25"/>
        <v>0</v>
      </c>
      <c r="AE445" t="b">
        <f t="shared" si="26"/>
        <v>0</v>
      </c>
      <c r="AF445" t="b">
        <f t="shared" si="27"/>
        <v>0</v>
      </c>
    </row>
    <row r="446" spans="1:32">
      <c r="A446" t="s">
        <v>1675</v>
      </c>
      <c r="B446" s="1" t="s">
        <v>1676</v>
      </c>
      <c r="C446" s="2">
        <v>46072.715034722198</v>
      </c>
      <c r="D446" s="1" t="s">
        <v>30</v>
      </c>
      <c r="E446" s="1" t="s">
        <v>1677</v>
      </c>
      <c r="F446" s="1" t="s">
        <v>1081</v>
      </c>
      <c r="G446" s="3">
        <v>46073</v>
      </c>
      <c r="H446" s="1" t="s">
        <v>1678</v>
      </c>
      <c r="I446" s="1" t="s">
        <v>63</v>
      </c>
      <c r="J446" s="1" t="s">
        <v>315</v>
      </c>
      <c r="K446" s="1" t="s">
        <v>35</v>
      </c>
      <c r="L446" t="s">
        <v>1081</v>
      </c>
      <c r="N446" s="3">
        <v>46072</v>
      </c>
      <c r="O446" s="1" t="s">
        <v>30</v>
      </c>
      <c r="P446" s="4">
        <v>350000</v>
      </c>
      <c r="Q446" s="5">
        <v>25</v>
      </c>
      <c r="R446" s="1" t="s">
        <v>38</v>
      </c>
      <c r="T446" s="1" t="s">
        <v>39</v>
      </c>
      <c r="U446" s="4">
        <v>424759.84</v>
      </c>
      <c r="V446" s="5">
        <v>84</v>
      </c>
      <c r="W446" s="5">
        <v>0</v>
      </c>
      <c r="Y446" s="1" t="s">
        <v>58</v>
      </c>
      <c r="Z446" s="3">
        <v>46073</v>
      </c>
      <c r="AA446" s="1" t="s">
        <v>41</v>
      </c>
      <c r="AB446" s="1" t="s">
        <v>42</v>
      </c>
      <c r="AC446" t="b">
        <f t="shared" si="24"/>
        <v>1</v>
      </c>
      <c r="AD446" t="b">
        <f t="shared" si="25"/>
        <v>0</v>
      </c>
      <c r="AE446" t="b">
        <f t="shared" si="26"/>
        <v>0</v>
      </c>
      <c r="AF446" t="b">
        <f t="shared" si="27"/>
        <v>0</v>
      </c>
    </row>
    <row r="447" spans="1:32">
      <c r="A447" t="s">
        <v>1679</v>
      </c>
      <c r="B447" s="1" t="s">
        <v>1680</v>
      </c>
      <c r="C447" s="2">
        <v>46170.830960648098</v>
      </c>
      <c r="D447" s="1" t="s">
        <v>30</v>
      </c>
      <c r="E447" s="1" t="s">
        <v>1681</v>
      </c>
      <c r="F447" s="1" t="s">
        <v>631</v>
      </c>
      <c r="G447" s="3">
        <v>46171</v>
      </c>
      <c r="H447" s="1" t="s">
        <v>1682</v>
      </c>
      <c r="I447" s="1" t="s">
        <v>63</v>
      </c>
      <c r="J447" s="1" t="s">
        <v>64</v>
      </c>
      <c r="K447" s="1" t="s">
        <v>35</v>
      </c>
      <c r="L447" t="s">
        <v>631</v>
      </c>
      <c r="M447" s="1" t="s">
        <v>45</v>
      </c>
      <c r="N447" s="3">
        <v>46170</v>
      </c>
      <c r="O447" s="1" t="s">
        <v>30</v>
      </c>
      <c r="P447" s="4">
        <v>350000</v>
      </c>
      <c r="Q447" s="5">
        <v>15</v>
      </c>
      <c r="R447" s="1" t="s">
        <v>38</v>
      </c>
      <c r="T447" s="1" t="s">
        <v>39</v>
      </c>
      <c r="U447" s="4">
        <v>443974.89</v>
      </c>
      <c r="V447" s="5">
        <v>30</v>
      </c>
      <c r="W447" s="5">
        <v>0</v>
      </c>
      <c r="Y447" s="1" t="s">
        <v>58</v>
      </c>
      <c r="Z447" s="3">
        <v>46171</v>
      </c>
      <c r="AA447" s="1" t="s">
        <v>41</v>
      </c>
      <c r="AB447" s="1" t="s">
        <v>42</v>
      </c>
      <c r="AC447" t="b">
        <f t="shared" si="24"/>
        <v>0</v>
      </c>
      <c r="AD447" t="b">
        <f t="shared" si="25"/>
        <v>0</v>
      </c>
      <c r="AE447" t="b">
        <f t="shared" si="26"/>
        <v>0</v>
      </c>
      <c r="AF447" t="b">
        <f t="shared" si="27"/>
        <v>0</v>
      </c>
    </row>
    <row r="448" spans="1:32">
      <c r="A448" t="s">
        <v>1683</v>
      </c>
      <c r="B448" s="1" t="s">
        <v>1684</v>
      </c>
      <c r="C448" s="2">
        <v>46174.490439814799</v>
      </c>
      <c r="D448" s="1" t="s">
        <v>30</v>
      </c>
      <c r="E448" s="1" t="s">
        <v>1685</v>
      </c>
      <c r="F448" s="1" t="s">
        <v>266</v>
      </c>
      <c r="G448" s="3">
        <v>46174</v>
      </c>
      <c r="H448" s="1" t="s">
        <v>1686</v>
      </c>
      <c r="I448" s="1" t="s">
        <v>97</v>
      </c>
      <c r="J448" s="1" t="s">
        <v>35</v>
      </c>
      <c r="K448" s="1" t="s">
        <v>35</v>
      </c>
      <c r="L448" t="s">
        <v>266</v>
      </c>
      <c r="N448" s="3">
        <v>46174</v>
      </c>
      <c r="O448" s="1" t="s">
        <v>30</v>
      </c>
      <c r="P448" s="4">
        <v>352000</v>
      </c>
      <c r="Q448" s="5">
        <v>1</v>
      </c>
      <c r="R448" s="1" t="s">
        <v>38</v>
      </c>
      <c r="T448" s="1" t="s">
        <v>39</v>
      </c>
      <c r="U448" s="4">
        <v>447743.92</v>
      </c>
      <c r="Y448" s="1" t="s">
        <v>72</v>
      </c>
      <c r="Z448" s="3">
        <v>46174</v>
      </c>
      <c r="AA448" s="1" t="s">
        <v>41</v>
      </c>
      <c r="AB448" s="1" t="s">
        <v>42</v>
      </c>
      <c r="AC448" t="b">
        <f t="shared" si="24"/>
        <v>0</v>
      </c>
      <c r="AD448" t="b">
        <f t="shared" si="25"/>
        <v>0</v>
      </c>
      <c r="AE448" t="b">
        <f t="shared" si="26"/>
        <v>0</v>
      </c>
      <c r="AF448" t="b">
        <f t="shared" si="27"/>
        <v>0</v>
      </c>
    </row>
    <row r="449" spans="1:32">
      <c r="A449" t="s">
        <v>1687</v>
      </c>
      <c r="B449" s="1" t="s">
        <v>1688</v>
      </c>
      <c r="C449" s="2">
        <v>46034.534629629597</v>
      </c>
      <c r="D449" s="1" t="s">
        <v>30</v>
      </c>
      <c r="E449" s="1" t="s">
        <v>1685</v>
      </c>
      <c r="F449" s="1" t="s">
        <v>266</v>
      </c>
      <c r="G449" s="3">
        <v>46034</v>
      </c>
      <c r="H449" s="1" t="s">
        <v>1689</v>
      </c>
      <c r="I449" s="1" t="s">
        <v>63</v>
      </c>
      <c r="J449" s="1" t="s">
        <v>215</v>
      </c>
      <c r="K449" s="1" t="s">
        <v>35</v>
      </c>
      <c r="L449" t="s">
        <v>266</v>
      </c>
      <c r="N449" s="3">
        <v>46034</v>
      </c>
      <c r="O449" s="1" t="s">
        <v>30</v>
      </c>
      <c r="P449" s="4">
        <v>360000</v>
      </c>
      <c r="Q449" s="5">
        <v>15</v>
      </c>
      <c r="R449" s="1" t="s">
        <v>38</v>
      </c>
      <c r="T449" s="1" t="s">
        <v>39</v>
      </c>
      <c r="U449" s="4">
        <v>428976.01</v>
      </c>
      <c r="V449" s="5">
        <v>40</v>
      </c>
      <c r="W449" s="5">
        <v>0</v>
      </c>
      <c r="Y449" s="1" t="s">
        <v>72</v>
      </c>
      <c r="Z449" s="3">
        <v>46034</v>
      </c>
      <c r="AA449" s="1" t="s">
        <v>41</v>
      </c>
      <c r="AB449" s="1" t="s">
        <v>42</v>
      </c>
      <c r="AC449" t="b">
        <f t="shared" si="24"/>
        <v>0</v>
      </c>
      <c r="AD449" t="b">
        <f t="shared" si="25"/>
        <v>0</v>
      </c>
      <c r="AE449" t="b">
        <f t="shared" si="26"/>
        <v>0</v>
      </c>
      <c r="AF449" t="b">
        <f t="shared" si="27"/>
        <v>0</v>
      </c>
    </row>
    <row r="450" spans="1:32">
      <c r="A450" t="s">
        <v>1690</v>
      </c>
      <c r="B450" s="1" t="s">
        <v>1691</v>
      </c>
      <c r="C450" s="2">
        <v>46072.715034722198</v>
      </c>
      <c r="D450" s="1" t="s">
        <v>30</v>
      </c>
      <c r="E450" s="1" t="s">
        <v>1677</v>
      </c>
      <c r="F450" s="1" t="s">
        <v>1081</v>
      </c>
      <c r="G450" s="3">
        <v>46073</v>
      </c>
      <c r="H450" s="1" t="s">
        <v>1678</v>
      </c>
      <c r="I450" s="1" t="s">
        <v>63</v>
      </c>
      <c r="J450" s="1" t="s">
        <v>35</v>
      </c>
      <c r="K450" s="1" t="s">
        <v>1083</v>
      </c>
      <c r="L450" t="s">
        <v>1081</v>
      </c>
      <c r="N450" s="3">
        <v>46072</v>
      </c>
      <c r="O450" s="1" t="s">
        <v>30</v>
      </c>
      <c r="P450" s="4">
        <v>367000</v>
      </c>
      <c r="Q450" s="5">
        <v>21</v>
      </c>
      <c r="R450" s="1" t="s">
        <v>38</v>
      </c>
      <c r="T450" s="1" t="s">
        <v>39</v>
      </c>
      <c r="U450" s="4">
        <v>445391.03</v>
      </c>
      <c r="V450" s="5">
        <v>42</v>
      </c>
      <c r="W450" s="5">
        <v>0</v>
      </c>
      <c r="Y450" s="1" t="s">
        <v>58</v>
      </c>
      <c r="Z450" s="3">
        <v>46073</v>
      </c>
      <c r="AA450" s="1" t="s">
        <v>41</v>
      </c>
      <c r="AB450" s="1" t="s">
        <v>42</v>
      </c>
      <c r="AC450" t="b">
        <f t="shared" ref="AC450:AC507" si="28">ISNUMBER( SEARCH("HOT",H450))</f>
        <v>1</v>
      </c>
      <c r="AD450" t="b">
        <f t="shared" ref="AD450:AD507" si="29">ISNUMBER( SEARCH("COMM",H450))</f>
        <v>0</v>
      </c>
      <c r="AE450" t="b">
        <f t="shared" ref="AE450:AE507" si="30">ISNUMBER( SEARCH("REEFER",H450))</f>
        <v>0</v>
      </c>
      <c r="AF450" t="b">
        <f t="shared" ref="AF450:AF507" si="31">ISNUMBER( SEARCH("P01",H450))</f>
        <v>0</v>
      </c>
    </row>
    <row r="451" spans="1:32">
      <c r="A451" t="s">
        <v>1692</v>
      </c>
      <c r="B451" s="1" t="s">
        <v>1693</v>
      </c>
      <c r="C451" s="2">
        <v>46083.5964930556</v>
      </c>
      <c r="D451" s="1" t="s">
        <v>30</v>
      </c>
      <c r="E451" s="1" t="s">
        <v>1677</v>
      </c>
      <c r="F451" s="1" t="s">
        <v>1081</v>
      </c>
      <c r="G451" s="3">
        <v>46084</v>
      </c>
      <c r="H451" s="1" t="s">
        <v>1694</v>
      </c>
      <c r="I451" s="1" t="s">
        <v>63</v>
      </c>
      <c r="J451" s="1" t="s">
        <v>1083</v>
      </c>
      <c r="K451" s="1" t="s">
        <v>35</v>
      </c>
      <c r="L451" t="s">
        <v>1081</v>
      </c>
      <c r="N451" s="3">
        <v>46083</v>
      </c>
      <c r="O451" s="1" t="s">
        <v>30</v>
      </c>
      <c r="P451" s="4">
        <v>367500</v>
      </c>
      <c r="Q451" s="5">
        <v>21</v>
      </c>
      <c r="R451" s="1" t="s">
        <v>38</v>
      </c>
      <c r="T451" s="1" t="s">
        <v>39</v>
      </c>
      <c r="U451" s="4">
        <v>451841.23</v>
      </c>
      <c r="V451" s="5">
        <v>42</v>
      </c>
      <c r="W451" s="5">
        <v>0</v>
      </c>
      <c r="Y451" s="1" t="s">
        <v>58</v>
      </c>
      <c r="Z451" s="3">
        <v>46084</v>
      </c>
      <c r="AA451" s="1" t="s">
        <v>41</v>
      </c>
      <c r="AB451" s="1" t="s">
        <v>42</v>
      </c>
      <c r="AC451" t="b">
        <f t="shared" si="28"/>
        <v>1</v>
      </c>
      <c r="AD451" t="b">
        <f t="shared" si="29"/>
        <v>0</v>
      </c>
      <c r="AE451" t="b">
        <f t="shared" si="30"/>
        <v>0</v>
      </c>
      <c r="AF451" t="b">
        <f t="shared" si="31"/>
        <v>0</v>
      </c>
    </row>
    <row r="452" spans="1:32">
      <c r="A452" t="s">
        <v>1695</v>
      </c>
      <c r="B452" s="1" t="s">
        <v>1696</v>
      </c>
      <c r="C452" s="2">
        <v>46149.881631944401</v>
      </c>
      <c r="D452" s="1" t="s">
        <v>30</v>
      </c>
      <c r="E452" s="1" t="s">
        <v>1697</v>
      </c>
      <c r="F452" s="1" t="s">
        <v>328</v>
      </c>
      <c r="G452" s="3">
        <v>46173</v>
      </c>
      <c r="H452" s="1" t="s">
        <v>1698</v>
      </c>
      <c r="I452" s="1" t="s">
        <v>63</v>
      </c>
      <c r="J452" s="1" t="s">
        <v>244</v>
      </c>
      <c r="K452" s="1" t="s">
        <v>35</v>
      </c>
      <c r="L452" t="s">
        <v>328</v>
      </c>
      <c r="M452" s="1" t="s">
        <v>45</v>
      </c>
      <c r="N452" s="3">
        <v>46149</v>
      </c>
      <c r="O452" s="1" t="s">
        <v>30</v>
      </c>
      <c r="P452" s="4">
        <v>379627</v>
      </c>
      <c r="Q452" s="5">
        <v>1</v>
      </c>
      <c r="R452" s="1" t="s">
        <v>38</v>
      </c>
      <c r="T452" s="1" t="s">
        <v>39</v>
      </c>
      <c r="U452" s="4">
        <v>492604.04</v>
      </c>
      <c r="V452" s="5">
        <v>6</v>
      </c>
      <c r="W452" s="5">
        <v>0</v>
      </c>
      <c r="Y452" s="1" t="s">
        <v>72</v>
      </c>
      <c r="Z452" s="3">
        <v>46173</v>
      </c>
      <c r="AA452" s="1" t="s">
        <v>41</v>
      </c>
      <c r="AB452" s="1" t="s">
        <v>42</v>
      </c>
      <c r="AC452" t="b">
        <f t="shared" si="28"/>
        <v>0</v>
      </c>
      <c r="AD452" t="b">
        <f t="shared" si="29"/>
        <v>0</v>
      </c>
      <c r="AE452" t="b">
        <f t="shared" si="30"/>
        <v>0</v>
      </c>
      <c r="AF452" t="b">
        <f t="shared" si="31"/>
        <v>0</v>
      </c>
    </row>
    <row r="453" spans="1:32">
      <c r="A453" t="s">
        <v>1699</v>
      </c>
      <c r="B453" s="1" t="s">
        <v>1700</v>
      </c>
      <c r="C453" s="2">
        <v>46107.554618055598</v>
      </c>
      <c r="D453" s="1" t="s">
        <v>30</v>
      </c>
      <c r="E453" s="1" t="s">
        <v>1312</v>
      </c>
      <c r="F453" s="1" t="s">
        <v>952</v>
      </c>
      <c r="G453" s="3">
        <v>46107</v>
      </c>
      <c r="H453" s="1" t="s">
        <v>1343</v>
      </c>
      <c r="I453" s="1" t="s">
        <v>63</v>
      </c>
      <c r="J453" s="1" t="s">
        <v>35</v>
      </c>
      <c r="K453" s="1" t="s">
        <v>103</v>
      </c>
      <c r="L453" t="s">
        <v>952</v>
      </c>
      <c r="N453" s="3">
        <v>46107</v>
      </c>
      <c r="O453" s="1" t="s">
        <v>30</v>
      </c>
      <c r="P453" s="4">
        <v>380000</v>
      </c>
      <c r="Q453" s="5">
        <v>13</v>
      </c>
      <c r="R453" s="1" t="s">
        <v>38</v>
      </c>
      <c r="T453" s="1" t="s">
        <v>39</v>
      </c>
      <c r="U453" s="4">
        <v>468197.83</v>
      </c>
      <c r="V453" s="5">
        <v>40</v>
      </c>
      <c r="W453" s="5">
        <v>0</v>
      </c>
      <c r="Y453" s="1" t="s">
        <v>72</v>
      </c>
      <c r="Z453" s="3">
        <v>46107</v>
      </c>
      <c r="AA453" s="1" t="s">
        <v>41</v>
      </c>
      <c r="AB453" s="1" t="s">
        <v>42</v>
      </c>
      <c r="AC453" t="b">
        <f t="shared" si="28"/>
        <v>1</v>
      </c>
      <c r="AD453" t="b">
        <f t="shared" si="29"/>
        <v>0</v>
      </c>
      <c r="AE453" t="b">
        <f t="shared" si="30"/>
        <v>0</v>
      </c>
      <c r="AF453" t="b">
        <f t="shared" si="31"/>
        <v>0</v>
      </c>
    </row>
    <row r="454" spans="1:32">
      <c r="A454" t="s">
        <v>1701</v>
      </c>
      <c r="B454" s="1" t="s">
        <v>1702</v>
      </c>
      <c r="C454" s="2">
        <v>46156.885405092602</v>
      </c>
      <c r="D454" s="1" t="s">
        <v>30</v>
      </c>
      <c r="E454" s="1" t="s">
        <v>1703</v>
      </c>
      <c r="F454" s="1" t="s">
        <v>32</v>
      </c>
      <c r="G454" s="3">
        <v>46185</v>
      </c>
      <c r="H454" s="1" t="s">
        <v>1704</v>
      </c>
      <c r="I454" s="1" t="s">
        <v>34</v>
      </c>
      <c r="J454" s="1" t="s">
        <v>64</v>
      </c>
      <c r="K454" s="1" t="s">
        <v>35</v>
      </c>
      <c r="L454" t="s">
        <v>32</v>
      </c>
      <c r="M454" s="1" t="s">
        <v>45</v>
      </c>
      <c r="N454" s="3">
        <v>46156</v>
      </c>
      <c r="O454" s="1" t="s">
        <v>30</v>
      </c>
      <c r="P454" s="4">
        <v>395568</v>
      </c>
      <c r="Q454" s="5">
        <v>1</v>
      </c>
      <c r="R454" s="1" t="s">
        <v>38</v>
      </c>
      <c r="S454" s="5">
        <v>2747</v>
      </c>
      <c r="T454" s="1" t="s">
        <v>39</v>
      </c>
      <c r="U454" s="4">
        <v>515464.83</v>
      </c>
      <c r="Y454" s="1" t="s">
        <v>40</v>
      </c>
      <c r="Z454" s="3">
        <v>46185</v>
      </c>
      <c r="AA454" s="1" t="s">
        <v>41</v>
      </c>
      <c r="AB454" s="1" t="s">
        <v>42</v>
      </c>
      <c r="AC454" t="b">
        <f t="shared" si="28"/>
        <v>0</v>
      </c>
      <c r="AD454" t="b">
        <f t="shared" si="29"/>
        <v>0</v>
      </c>
      <c r="AE454" t="b">
        <f t="shared" si="30"/>
        <v>0</v>
      </c>
      <c r="AF454" t="b">
        <f t="shared" si="31"/>
        <v>0</v>
      </c>
    </row>
    <row r="455" spans="1:32">
      <c r="A455" t="s">
        <v>1705</v>
      </c>
      <c r="B455" s="1" t="s">
        <v>1706</v>
      </c>
      <c r="C455" s="2">
        <v>46129.594004629602</v>
      </c>
      <c r="D455" s="1" t="s">
        <v>30</v>
      </c>
      <c r="E455" s="1" t="s">
        <v>1707</v>
      </c>
      <c r="F455" s="1" t="s">
        <v>1317</v>
      </c>
      <c r="G455" s="3">
        <v>46135</v>
      </c>
      <c r="H455" s="1" t="s">
        <v>1708</v>
      </c>
      <c r="I455" s="1" t="s">
        <v>34</v>
      </c>
      <c r="J455" s="1" t="s">
        <v>244</v>
      </c>
      <c r="K455" s="1" t="s">
        <v>35</v>
      </c>
      <c r="L455" t="s">
        <v>1317</v>
      </c>
      <c r="M455" s="1" t="s">
        <v>45</v>
      </c>
      <c r="N455" s="3">
        <v>46129</v>
      </c>
      <c r="O455" s="1" t="s">
        <v>30</v>
      </c>
      <c r="P455" s="4">
        <v>400000</v>
      </c>
      <c r="Q455" s="5">
        <v>25</v>
      </c>
      <c r="R455" s="1" t="s">
        <v>38</v>
      </c>
      <c r="S455" s="5">
        <v>20000</v>
      </c>
      <c r="T455" s="1" t="s">
        <v>39</v>
      </c>
      <c r="U455" s="4">
        <v>508039.95</v>
      </c>
      <c r="Y455" s="1" t="s">
        <v>961</v>
      </c>
      <c r="Z455" s="3">
        <v>46135</v>
      </c>
      <c r="AA455" s="1" t="s">
        <v>41</v>
      </c>
      <c r="AB455" s="1" t="s">
        <v>42</v>
      </c>
      <c r="AC455" t="b">
        <f t="shared" si="28"/>
        <v>0</v>
      </c>
      <c r="AD455" t="b">
        <f t="shared" si="29"/>
        <v>0</v>
      </c>
      <c r="AE455" t="b">
        <f t="shared" si="30"/>
        <v>0</v>
      </c>
      <c r="AF455" t="b">
        <f t="shared" si="31"/>
        <v>0</v>
      </c>
    </row>
    <row r="456" spans="1:32">
      <c r="A456" t="s">
        <v>1709</v>
      </c>
      <c r="B456" s="1" t="s">
        <v>1710</v>
      </c>
      <c r="C456" s="2">
        <v>46167.532546296301</v>
      </c>
      <c r="D456" s="1" t="s">
        <v>30</v>
      </c>
      <c r="E456" s="1" t="s">
        <v>218</v>
      </c>
      <c r="F456" s="1" t="s">
        <v>101</v>
      </c>
      <c r="G456" s="3">
        <v>46233</v>
      </c>
      <c r="H456" s="1" t="s">
        <v>1711</v>
      </c>
      <c r="I456" s="1" t="s">
        <v>63</v>
      </c>
      <c r="J456" s="1" t="s">
        <v>35</v>
      </c>
      <c r="K456" s="1" t="s">
        <v>1083</v>
      </c>
      <c r="L456" t="s">
        <v>101</v>
      </c>
      <c r="N456" s="3">
        <v>46167</v>
      </c>
      <c r="O456" s="1" t="s">
        <v>30</v>
      </c>
      <c r="P456" s="4">
        <v>400000</v>
      </c>
      <c r="Q456" s="5">
        <v>72</v>
      </c>
      <c r="R456" s="1" t="s">
        <v>38</v>
      </c>
      <c r="T456" s="1" t="s">
        <v>39</v>
      </c>
      <c r="U456" s="4">
        <v>514439.87</v>
      </c>
      <c r="V456" s="5">
        <v>2</v>
      </c>
      <c r="W456" s="5">
        <v>50</v>
      </c>
      <c r="Y456" s="1" t="s">
        <v>72</v>
      </c>
      <c r="Z456" s="3">
        <v>46233</v>
      </c>
      <c r="AA456" s="1" t="s">
        <v>41</v>
      </c>
      <c r="AB456" s="1" t="s">
        <v>42</v>
      </c>
      <c r="AC456" t="b">
        <f t="shared" si="28"/>
        <v>0</v>
      </c>
      <c r="AD456" t="b">
        <f t="shared" si="29"/>
        <v>0</v>
      </c>
      <c r="AE456" t="b">
        <f t="shared" si="30"/>
        <v>0</v>
      </c>
      <c r="AF456" t="b">
        <f t="shared" si="31"/>
        <v>0</v>
      </c>
    </row>
    <row r="457" spans="1:32">
      <c r="A457" t="s">
        <v>1712</v>
      </c>
      <c r="B457" s="1" t="s">
        <v>1713</v>
      </c>
      <c r="C457" s="2">
        <v>46163.880509259303</v>
      </c>
      <c r="D457" s="1" t="s">
        <v>30</v>
      </c>
      <c r="E457" s="1" t="s">
        <v>1408</v>
      </c>
      <c r="F457" s="1" t="s">
        <v>242</v>
      </c>
      <c r="G457" s="3">
        <v>46254</v>
      </c>
      <c r="H457" s="1" t="s">
        <v>1714</v>
      </c>
      <c r="I457" s="1" t="s">
        <v>34</v>
      </c>
      <c r="J457" s="1" t="s">
        <v>35</v>
      </c>
      <c r="K457" s="1" t="s">
        <v>280</v>
      </c>
      <c r="L457" t="s">
        <v>242</v>
      </c>
      <c r="M457" s="1" t="s">
        <v>37</v>
      </c>
      <c r="N457" s="3">
        <v>46163</v>
      </c>
      <c r="O457" s="1" t="s">
        <v>30</v>
      </c>
      <c r="P457" s="4">
        <v>400000</v>
      </c>
      <c r="Q457" s="5">
        <v>10</v>
      </c>
      <c r="R457" s="1" t="s">
        <v>38</v>
      </c>
      <c r="S457" s="5">
        <v>3000</v>
      </c>
      <c r="T457" s="1" t="s">
        <v>39</v>
      </c>
      <c r="U457" s="4">
        <v>512439.95</v>
      </c>
      <c r="Y457" s="1" t="s">
        <v>115</v>
      </c>
      <c r="Z457" s="3">
        <v>46254</v>
      </c>
      <c r="AA457" s="1" t="s">
        <v>41</v>
      </c>
      <c r="AB457" s="1" t="s">
        <v>42</v>
      </c>
      <c r="AC457" t="b">
        <f t="shared" si="28"/>
        <v>0</v>
      </c>
      <c r="AD457" t="b">
        <f t="shared" si="29"/>
        <v>0</v>
      </c>
      <c r="AE457" t="b">
        <f t="shared" si="30"/>
        <v>0</v>
      </c>
      <c r="AF457" t="b">
        <f t="shared" si="31"/>
        <v>0</v>
      </c>
    </row>
    <row r="458" spans="1:32">
      <c r="A458" t="s">
        <v>1715</v>
      </c>
      <c r="B458" s="1" t="s">
        <v>1716</v>
      </c>
      <c r="C458" s="2">
        <v>46049.584351851903</v>
      </c>
      <c r="D458" s="1" t="s">
        <v>30</v>
      </c>
      <c r="E458" s="1" t="s">
        <v>1717</v>
      </c>
      <c r="F458" s="1" t="s">
        <v>1317</v>
      </c>
      <c r="G458" s="3">
        <v>46036</v>
      </c>
      <c r="H458" s="1" t="s">
        <v>1718</v>
      </c>
      <c r="I458" s="1" t="s">
        <v>993</v>
      </c>
      <c r="J458" s="1" t="s">
        <v>35</v>
      </c>
      <c r="K458" s="1" t="s">
        <v>831</v>
      </c>
      <c r="L458" t="s">
        <v>1317</v>
      </c>
      <c r="M458" s="1" t="s">
        <v>45</v>
      </c>
      <c r="N458" s="3">
        <v>46049</v>
      </c>
      <c r="O458" s="1" t="s">
        <v>30</v>
      </c>
      <c r="P458" s="4">
        <v>400000</v>
      </c>
      <c r="Q458" s="5">
        <v>40</v>
      </c>
      <c r="R458" s="1" t="s">
        <v>38</v>
      </c>
      <c r="T458" s="1" t="s">
        <v>39</v>
      </c>
      <c r="U458" s="4">
        <v>477319.85</v>
      </c>
      <c r="Y458" s="1" t="s">
        <v>961</v>
      </c>
      <c r="Z458" s="3">
        <v>46036</v>
      </c>
      <c r="AA458" s="1" t="s">
        <v>41</v>
      </c>
      <c r="AB458" s="1" t="s">
        <v>42</v>
      </c>
      <c r="AC458" t="b">
        <f t="shared" si="28"/>
        <v>0</v>
      </c>
      <c r="AD458" t="b">
        <f t="shared" si="29"/>
        <v>0</v>
      </c>
      <c r="AE458" t="b">
        <f t="shared" si="30"/>
        <v>0</v>
      </c>
      <c r="AF458" t="b">
        <f t="shared" si="31"/>
        <v>0</v>
      </c>
    </row>
    <row r="459" spans="1:32">
      <c r="A459" t="s">
        <v>1719</v>
      </c>
      <c r="B459" s="1" t="s">
        <v>1720</v>
      </c>
      <c r="C459" s="2">
        <v>46059.836562500001</v>
      </c>
      <c r="D459" s="1" t="s">
        <v>30</v>
      </c>
      <c r="E459" s="1" t="s">
        <v>920</v>
      </c>
      <c r="F459" s="1" t="s">
        <v>266</v>
      </c>
      <c r="G459" s="3">
        <v>46059</v>
      </c>
      <c r="H459" s="1" t="s">
        <v>1721</v>
      </c>
      <c r="I459" s="1" t="s">
        <v>34</v>
      </c>
      <c r="J459" s="1" t="s">
        <v>78</v>
      </c>
      <c r="K459" s="1" t="s">
        <v>35</v>
      </c>
      <c r="L459" t="s">
        <v>266</v>
      </c>
      <c r="N459" s="3">
        <v>46059</v>
      </c>
      <c r="O459" s="1" t="s">
        <v>30</v>
      </c>
      <c r="P459" s="4">
        <v>400000</v>
      </c>
      <c r="Q459" s="5">
        <v>6</v>
      </c>
      <c r="R459" s="1" t="s">
        <v>38</v>
      </c>
      <c r="S459" s="5">
        <v>8000</v>
      </c>
      <c r="T459" s="1" t="s">
        <v>39</v>
      </c>
      <c r="U459" s="4">
        <v>482600.02</v>
      </c>
      <c r="Y459" s="1" t="s">
        <v>72</v>
      </c>
      <c r="Z459" s="3">
        <v>46059</v>
      </c>
      <c r="AA459" s="1" t="s">
        <v>41</v>
      </c>
      <c r="AB459" s="1" t="s">
        <v>42</v>
      </c>
      <c r="AC459" t="b">
        <f t="shared" si="28"/>
        <v>0</v>
      </c>
      <c r="AD459" t="b">
        <f t="shared" si="29"/>
        <v>0</v>
      </c>
      <c r="AE459" t="b">
        <f t="shared" si="30"/>
        <v>0</v>
      </c>
      <c r="AF459" t="b">
        <f t="shared" si="31"/>
        <v>0</v>
      </c>
    </row>
    <row r="460" spans="1:32">
      <c r="A460" t="s">
        <v>1722</v>
      </c>
      <c r="B460" s="1" t="s">
        <v>1723</v>
      </c>
      <c r="C460" s="2">
        <v>46141.829074074099</v>
      </c>
      <c r="D460" s="1" t="s">
        <v>30</v>
      </c>
      <c r="E460" s="1" t="s">
        <v>723</v>
      </c>
      <c r="F460" s="1" t="s">
        <v>266</v>
      </c>
      <c r="G460" s="3">
        <v>46141</v>
      </c>
      <c r="H460" s="1" t="s">
        <v>1724</v>
      </c>
      <c r="I460" s="1" t="s">
        <v>63</v>
      </c>
      <c r="J460" s="1" t="s">
        <v>799</v>
      </c>
      <c r="K460" s="1" t="s">
        <v>35</v>
      </c>
      <c r="L460" t="s">
        <v>266</v>
      </c>
      <c r="N460" s="3">
        <v>46141</v>
      </c>
      <c r="O460" s="1" t="s">
        <v>30</v>
      </c>
      <c r="P460" s="4">
        <v>401500</v>
      </c>
      <c r="Q460" s="5">
        <v>10</v>
      </c>
      <c r="R460" s="1" t="s">
        <v>38</v>
      </c>
      <c r="T460" s="1" t="s">
        <v>39</v>
      </c>
      <c r="U460" s="4">
        <v>514482.25</v>
      </c>
      <c r="V460" s="5">
        <v>20</v>
      </c>
      <c r="W460" s="5">
        <v>0</v>
      </c>
      <c r="Y460" s="1" t="s">
        <v>72</v>
      </c>
      <c r="Z460" s="3">
        <v>46141</v>
      </c>
      <c r="AA460" s="1" t="s">
        <v>41</v>
      </c>
      <c r="AB460" s="1" t="s">
        <v>42</v>
      </c>
      <c r="AC460" t="b">
        <f t="shared" si="28"/>
        <v>0</v>
      </c>
      <c r="AD460" t="b">
        <f t="shared" si="29"/>
        <v>1</v>
      </c>
      <c r="AE460" t="b">
        <f t="shared" si="30"/>
        <v>0</v>
      </c>
      <c r="AF460" t="b">
        <f t="shared" si="31"/>
        <v>0</v>
      </c>
    </row>
    <row r="461" spans="1:32">
      <c r="A461" t="s">
        <v>1725</v>
      </c>
      <c r="B461" s="1" t="s">
        <v>1726</v>
      </c>
      <c r="C461" s="2">
        <v>46055.511620370402</v>
      </c>
      <c r="D461" s="1" t="s">
        <v>30</v>
      </c>
      <c r="E461" s="1" t="s">
        <v>532</v>
      </c>
      <c r="F461" s="1" t="s">
        <v>533</v>
      </c>
      <c r="G461" s="3">
        <v>46054</v>
      </c>
      <c r="H461" s="1" t="s">
        <v>534</v>
      </c>
      <c r="I461" s="1" t="s">
        <v>63</v>
      </c>
      <c r="J461" s="1" t="s">
        <v>35</v>
      </c>
      <c r="K461" s="1" t="s">
        <v>136</v>
      </c>
      <c r="L461" t="s">
        <v>274</v>
      </c>
      <c r="M461" s="1" t="s">
        <v>37</v>
      </c>
      <c r="N461" s="3">
        <v>46055</v>
      </c>
      <c r="O461" s="1" t="s">
        <v>30</v>
      </c>
      <c r="P461" s="4">
        <v>404537</v>
      </c>
      <c r="Q461" s="5">
        <v>8</v>
      </c>
      <c r="R461" s="1" t="s">
        <v>38</v>
      </c>
      <c r="T461" s="1" t="s">
        <v>39</v>
      </c>
      <c r="U461" s="4">
        <v>485525.37</v>
      </c>
      <c r="V461" s="5">
        <v>80</v>
      </c>
      <c r="W461" s="5">
        <v>0</v>
      </c>
      <c r="Z461" s="3">
        <v>46054</v>
      </c>
      <c r="AA461" s="1" t="s">
        <v>41</v>
      </c>
      <c r="AB461" s="1" t="s">
        <v>42</v>
      </c>
      <c r="AC461" t="b">
        <f t="shared" si="28"/>
        <v>0</v>
      </c>
      <c r="AD461" t="b">
        <f t="shared" si="29"/>
        <v>0</v>
      </c>
      <c r="AE461" t="b">
        <f t="shared" si="30"/>
        <v>0</v>
      </c>
      <c r="AF461" t="b">
        <f t="shared" si="31"/>
        <v>0</v>
      </c>
    </row>
    <row r="462" spans="1:32">
      <c r="A462" t="s">
        <v>1727</v>
      </c>
      <c r="B462" s="1" t="s">
        <v>1728</v>
      </c>
      <c r="C462" s="2">
        <v>46042.581805555601</v>
      </c>
      <c r="D462" s="1" t="s">
        <v>30</v>
      </c>
      <c r="E462" s="1" t="s">
        <v>1729</v>
      </c>
      <c r="F462" s="1" t="s">
        <v>224</v>
      </c>
      <c r="G462" s="3">
        <v>46042</v>
      </c>
      <c r="H462" s="1" t="s">
        <v>1730</v>
      </c>
      <c r="I462" s="1" t="s">
        <v>1448</v>
      </c>
      <c r="J462" s="1" t="s">
        <v>1202</v>
      </c>
      <c r="K462" s="1" t="s">
        <v>35</v>
      </c>
      <c r="L462" t="s">
        <v>224</v>
      </c>
      <c r="M462" s="1" t="s">
        <v>45</v>
      </c>
      <c r="N462" s="3">
        <v>46042</v>
      </c>
      <c r="O462" s="1" t="s">
        <v>30</v>
      </c>
      <c r="P462" s="4">
        <v>450000</v>
      </c>
      <c r="Q462" s="5">
        <v>1</v>
      </c>
      <c r="R462" s="1" t="s">
        <v>38</v>
      </c>
      <c r="S462" s="5">
        <v>0</v>
      </c>
      <c r="T462" s="1" t="s">
        <v>39</v>
      </c>
      <c r="U462" s="4">
        <v>538559.80000000005</v>
      </c>
      <c r="V462" s="5">
        <v>17</v>
      </c>
      <c r="W462" s="5">
        <v>0</v>
      </c>
      <c r="Y462" s="1" t="s">
        <v>227</v>
      </c>
      <c r="Z462" s="3">
        <v>46042</v>
      </c>
      <c r="AA462" s="1" t="s">
        <v>41</v>
      </c>
      <c r="AB462" s="1" t="s">
        <v>42</v>
      </c>
      <c r="AC462" t="b">
        <f t="shared" si="28"/>
        <v>0</v>
      </c>
      <c r="AD462" t="b">
        <f t="shared" si="29"/>
        <v>0</v>
      </c>
      <c r="AE462" t="b">
        <f t="shared" si="30"/>
        <v>0</v>
      </c>
      <c r="AF462" t="b">
        <f t="shared" si="31"/>
        <v>0</v>
      </c>
    </row>
    <row r="463" spans="1:32">
      <c r="A463" t="s">
        <v>1731</v>
      </c>
      <c r="B463" s="1" t="s">
        <v>1732</v>
      </c>
      <c r="C463" s="2">
        <v>46127.859097222201</v>
      </c>
      <c r="D463" s="1" t="s">
        <v>30</v>
      </c>
      <c r="E463" s="1" t="s">
        <v>1089</v>
      </c>
      <c r="F463" s="1" t="s">
        <v>1081</v>
      </c>
      <c r="G463" s="3">
        <v>46128</v>
      </c>
      <c r="H463" s="1" t="s">
        <v>1304</v>
      </c>
      <c r="I463" s="1" t="s">
        <v>63</v>
      </c>
      <c r="J463" s="1" t="s">
        <v>144</v>
      </c>
      <c r="K463" s="1" t="s">
        <v>35</v>
      </c>
      <c r="L463" t="s">
        <v>1081</v>
      </c>
      <c r="N463" s="3">
        <v>46127</v>
      </c>
      <c r="O463" s="1" t="s">
        <v>30</v>
      </c>
      <c r="P463" s="4">
        <v>455000</v>
      </c>
      <c r="Q463" s="5">
        <v>13</v>
      </c>
      <c r="R463" s="1" t="s">
        <v>38</v>
      </c>
      <c r="T463" s="1" t="s">
        <v>39</v>
      </c>
      <c r="U463" s="4">
        <v>577667.86</v>
      </c>
      <c r="V463" s="5">
        <v>26</v>
      </c>
      <c r="W463" s="5">
        <v>0</v>
      </c>
      <c r="Y463" s="1" t="s">
        <v>58</v>
      </c>
      <c r="Z463" s="3">
        <v>46128</v>
      </c>
      <c r="AA463" s="1" t="s">
        <v>41</v>
      </c>
      <c r="AB463" s="1" t="s">
        <v>208</v>
      </c>
      <c r="AC463" t="b">
        <f t="shared" si="28"/>
        <v>0</v>
      </c>
      <c r="AD463" t="b">
        <f t="shared" si="29"/>
        <v>0</v>
      </c>
      <c r="AE463" t="b">
        <f t="shared" si="30"/>
        <v>0</v>
      </c>
      <c r="AF463" t="b">
        <f t="shared" si="31"/>
        <v>0</v>
      </c>
    </row>
    <row r="464" spans="1:32">
      <c r="A464" t="s">
        <v>1733</v>
      </c>
      <c r="B464" s="1" t="s">
        <v>1734</v>
      </c>
      <c r="C464" s="2">
        <v>46177.878969907397</v>
      </c>
      <c r="D464" s="1" t="s">
        <v>30</v>
      </c>
      <c r="E464" s="1" t="s">
        <v>1735</v>
      </c>
      <c r="F464" s="1" t="s">
        <v>348</v>
      </c>
      <c r="G464" s="3">
        <v>46185</v>
      </c>
      <c r="H464" s="1" t="s">
        <v>1736</v>
      </c>
      <c r="I464" s="1" t="s">
        <v>34</v>
      </c>
      <c r="J464" s="1" t="s">
        <v>215</v>
      </c>
      <c r="K464" s="1" t="s">
        <v>35</v>
      </c>
      <c r="L464" t="s">
        <v>348</v>
      </c>
      <c r="M464" s="1" t="s">
        <v>45</v>
      </c>
      <c r="N464" s="3">
        <v>46177</v>
      </c>
      <c r="O464" s="1" t="s">
        <v>30</v>
      </c>
      <c r="P464" s="4">
        <v>470000</v>
      </c>
      <c r="Q464" s="5">
        <v>1</v>
      </c>
      <c r="R464" s="1" t="s">
        <v>38</v>
      </c>
      <c r="S464" s="5">
        <v>12600</v>
      </c>
      <c r="T464" s="1" t="s">
        <v>39</v>
      </c>
      <c r="U464" s="4">
        <v>595630.93000000005</v>
      </c>
      <c r="Y464" s="1" t="s">
        <v>227</v>
      </c>
      <c r="Z464" s="3">
        <v>46185</v>
      </c>
      <c r="AA464" s="1" t="s">
        <v>41</v>
      </c>
      <c r="AB464" s="1" t="s">
        <v>42</v>
      </c>
      <c r="AC464" t="b">
        <f t="shared" si="28"/>
        <v>1</v>
      </c>
      <c r="AD464" t="b">
        <f t="shared" si="29"/>
        <v>0</v>
      </c>
      <c r="AE464" t="b">
        <f t="shared" si="30"/>
        <v>0</v>
      </c>
      <c r="AF464" t="b">
        <f t="shared" si="31"/>
        <v>0</v>
      </c>
    </row>
    <row r="465" spans="1:32">
      <c r="A465" t="s">
        <v>1737</v>
      </c>
      <c r="B465" s="1" t="s">
        <v>1738</v>
      </c>
      <c r="C465" s="2">
        <v>46071.652129629598</v>
      </c>
      <c r="D465" s="1" t="s">
        <v>30</v>
      </c>
      <c r="E465" s="1" t="s">
        <v>1050</v>
      </c>
      <c r="F465" s="1" t="s">
        <v>101</v>
      </c>
      <c r="G465" s="3">
        <v>46071</v>
      </c>
      <c r="H465" s="1" t="s">
        <v>1739</v>
      </c>
      <c r="I465" s="1" t="s">
        <v>34</v>
      </c>
      <c r="J465" s="1" t="s">
        <v>64</v>
      </c>
      <c r="K465" s="1" t="s">
        <v>35</v>
      </c>
      <c r="L465" t="s">
        <v>101</v>
      </c>
      <c r="N465" s="3">
        <v>46071</v>
      </c>
      <c r="O465" s="1" t="s">
        <v>30</v>
      </c>
      <c r="P465" s="4">
        <v>494220.64</v>
      </c>
      <c r="Q465" s="5">
        <v>50</v>
      </c>
      <c r="R465" s="1" t="s">
        <v>38</v>
      </c>
      <c r="S465" s="5">
        <v>1500</v>
      </c>
      <c r="T465" s="1" t="s">
        <v>39</v>
      </c>
      <c r="U465" s="4">
        <v>597660.82999999996</v>
      </c>
      <c r="Y465" s="1" t="s">
        <v>72</v>
      </c>
      <c r="Z465" s="3">
        <v>46071</v>
      </c>
      <c r="AA465" s="1" t="s">
        <v>41</v>
      </c>
      <c r="AB465" s="1" t="s">
        <v>42</v>
      </c>
      <c r="AC465" t="b">
        <f t="shared" si="28"/>
        <v>0</v>
      </c>
      <c r="AD465" t="b">
        <f t="shared" si="29"/>
        <v>0</v>
      </c>
      <c r="AE465" t="b">
        <f t="shared" si="30"/>
        <v>0</v>
      </c>
      <c r="AF465" t="b">
        <f t="shared" si="31"/>
        <v>0</v>
      </c>
    </row>
    <row r="466" spans="1:32">
      <c r="A466" t="s">
        <v>1740</v>
      </c>
      <c r="B466" s="1" t="s">
        <v>1741</v>
      </c>
      <c r="C466" s="2">
        <v>46050.591655092598</v>
      </c>
      <c r="D466" s="1" t="s">
        <v>30</v>
      </c>
      <c r="E466" s="1" t="s">
        <v>1742</v>
      </c>
      <c r="F466" s="1" t="s">
        <v>1317</v>
      </c>
      <c r="G466" s="3">
        <v>46045</v>
      </c>
      <c r="H466" s="1" t="s">
        <v>1743</v>
      </c>
      <c r="I466" s="1" t="s">
        <v>34</v>
      </c>
      <c r="J466" s="1" t="s">
        <v>64</v>
      </c>
      <c r="K466" s="1" t="s">
        <v>35</v>
      </c>
      <c r="L466" t="s">
        <v>1317</v>
      </c>
      <c r="M466" s="1" t="s">
        <v>45</v>
      </c>
      <c r="N466" s="3">
        <v>46050</v>
      </c>
      <c r="O466" s="1" t="s">
        <v>30</v>
      </c>
      <c r="P466" s="4">
        <v>500000</v>
      </c>
      <c r="Q466" s="5">
        <v>35</v>
      </c>
      <c r="R466" s="1" t="s">
        <v>38</v>
      </c>
      <c r="S466" s="5">
        <v>30000</v>
      </c>
      <c r="T466" s="1" t="s">
        <v>39</v>
      </c>
      <c r="U466" s="4">
        <v>595400.14</v>
      </c>
      <c r="Y466" s="1" t="s">
        <v>961</v>
      </c>
      <c r="Z466" s="3">
        <v>46045</v>
      </c>
      <c r="AA466" s="1" t="s">
        <v>41</v>
      </c>
      <c r="AB466" s="1" t="s">
        <v>42</v>
      </c>
      <c r="AC466" t="b">
        <f t="shared" si="28"/>
        <v>0</v>
      </c>
      <c r="AD466" t="b">
        <f t="shared" si="29"/>
        <v>0</v>
      </c>
      <c r="AE466" t="b">
        <f t="shared" si="30"/>
        <v>0</v>
      </c>
      <c r="AF466" t="b">
        <f t="shared" si="31"/>
        <v>0</v>
      </c>
    </row>
    <row r="467" spans="1:32">
      <c r="A467" t="s">
        <v>1744</v>
      </c>
      <c r="B467" s="1" t="s">
        <v>1745</v>
      </c>
      <c r="C467" s="2">
        <v>46170.726412037002</v>
      </c>
      <c r="D467" s="1" t="s">
        <v>30</v>
      </c>
      <c r="E467" s="1" t="s">
        <v>1717</v>
      </c>
      <c r="F467" s="1" t="s">
        <v>1317</v>
      </c>
      <c r="G467" s="3">
        <v>46162</v>
      </c>
      <c r="H467" s="1" t="s">
        <v>1746</v>
      </c>
      <c r="I467" s="1" t="s">
        <v>63</v>
      </c>
      <c r="J467" s="1" t="s">
        <v>35</v>
      </c>
      <c r="K467" s="1" t="s">
        <v>627</v>
      </c>
      <c r="L467" t="s">
        <v>1317</v>
      </c>
      <c r="M467" s="1" t="s">
        <v>37</v>
      </c>
      <c r="N467" s="3">
        <v>46170</v>
      </c>
      <c r="O467" s="1" t="s">
        <v>30</v>
      </c>
      <c r="P467" s="4">
        <v>500000</v>
      </c>
      <c r="Q467" s="5">
        <v>20</v>
      </c>
      <c r="R467" s="1" t="s">
        <v>65</v>
      </c>
      <c r="T467" s="1" t="s">
        <v>39</v>
      </c>
      <c r="U467" s="4">
        <v>634249.85</v>
      </c>
      <c r="V467" s="5">
        <v>45</v>
      </c>
      <c r="W467" s="5">
        <v>0</v>
      </c>
      <c r="Y467" s="1" t="s">
        <v>961</v>
      </c>
      <c r="Z467" s="3">
        <v>46162</v>
      </c>
      <c r="AA467" s="1" t="s">
        <v>41</v>
      </c>
      <c r="AB467" s="1" t="s">
        <v>42</v>
      </c>
      <c r="AC467" t="b">
        <f t="shared" si="28"/>
        <v>0</v>
      </c>
      <c r="AD467" t="b">
        <f t="shared" si="29"/>
        <v>0</v>
      </c>
      <c r="AE467" t="b">
        <f t="shared" si="30"/>
        <v>0</v>
      </c>
      <c r="AF467" t="b">
        <f t="shared" si="31"/>
        <v>0</v>
      </c>
    </row>
    <row r="468" spans="1:32">
      <c r="A468" t="s">
        <v>1747</v>
      </c>
      <c r="B468" s="1" t="s">
        <v>1748</v>
      </c>
      <c r="C468" s="2">
        <v>46099.77375</v>
      </c>
      <c r="D468" s="1" t="s">
        <v>30</v>
      </c>
      <c r="E468" s="1" t="s">
        <v>1749</v>
      </c>
      <c r="F468" s="1" t="s">
        <v>1317</v>
      </c>
      <c r="G468" s="3">
        <v>46093</v>
      </c>
      <c r="H468" s="1" t="s">
        <v>1750</v>
      </c>
      <c r="I468" s="1" t="s">
        <v>34</v>
      </c>
      <c r="J468" s="1" t="s">
        <v>296</v>
      </c>
      <c r="K468" s="1" t="s">
        <v>35</v>
      </c>
      <c r="L468" t="s">
        <v>1317</v>
      </c>
      <c r="M468" s="1" t="s">
        <v>45</v>
      </c>
      <c r="N468" s="3">
        <v>46099</v>
      </c>
      <c r="O468" s="1" t="s">
        <v>30</v>
      </c>
      <c r="P468" s="4">
        <v>500000</v>
      </c>
      <c r="Q468" s="5">
        <v>40</v>
      </c>
      <c r="R468" s="1" t="s">
        <v>38</v>
      </c>
      <c r="S468" s="5">
        <v>15000</v>
      </c>
      <c r="T468" s="1" t="s">
        <v>39</v>
      </c>
      <c r="U468" s="4">
        <v>620949.89</v>
      </c>
      <c r="Y468" s="1" t="s">
        <v>961</v>
      </c>
      <c r="Z468" s="3">
        <v>46093</v>
      </c>
      <c r="AA468" s="1" t="s">
        <v>41</v>
      </c>
      <c r="AB468" s="1" t="s">
        <v>42</v>
      </c>
      <c r="AC468" t="b">
        <f t="shared" si="28"/>
        <v>0</v>
      </c>
      <c r="AD468" t="b">
        <f t="shared" si="29"/>
        <v>0</v>
      </c>
      <c r="AE468" t="b">
        <f t="shared" si="30"/>
        <v>0</v>
      </c>
      <c r="AF468" t="b">
        <f t="shared" si="31"/>
        <v>0</v>
      </c>
    </row>
    <row r="469" spans="1:32">
      <c r="A469" t="s">
        <v>1751</v>
      </c>
      <c r="B469" s="1" t="s">
        <v>1752</v>
      </c>
      <c r="C469" s="2">
        <v>46178.772337962997</v>
      </c>
      <c r="D469" s="1" t="s">
        <v>30</v>
      </c>
      <c r="E469" s="1" t="s">
        <v>1753</v>
      </c>
      <c r="F469" s="1" t="s">
        <v>1003</v>
      </c>
      <c r="G469" s="3">
        <v>46233</v>
      </c>
      <c r="H469" s="1" t="s">
        <v>1754</v>
      </c>
      <c r="I469" s="1" t="s">
        <v>63</v>
      </c>
      <c r="J469" s="1" t="s">
        <v>35</v>
      </c>
      <c r="K469" s="1" t="s">
        <v>144</v>
      </c>
      <c r="L469" t="s">
        <v>1003</v>
      </c>
      <c r="M469" s="1" t="s">
        <v>37</v>
      </c>
      <c r="N469" s="3">
        <v>46178</v>
      </c>
      <c r="O469" s="1" t="s">
        <v>30</v>
      </c>
      <c r="P469" s="4">
        <v>550000</v>
      </c>
      <c r="Q469" s="5">
        <v>20</v>
      </c>
      <c r="R469" s="1" t="s">
        <v>38</v>
      </c>
      <c r="T469" s="1" t="s">
        <v>39</v>
      </c>
      <c r="U469" s="4">
        <v>697014.92</v>
      </c>
      <c r="V469" s="5">
        <v>80</v>
      </c>
      <c r="W469" s="5">
        <v>0</v>
      </c>
      <c r="Y469" s="1" t="s">
        <v>227</v>
      </c>
      <c r="Z469" s="3">
        <v>46233</v>
      </c>
      <c r="AA469" s="1" t="s">
        <v>41</v>
      </c>
      <c r="AB469" s="1" t="s">
        <v>42</v>
      </c>
      <c r="AC469" t="b">
        <f t="shared" si="28"/>
        <v>1</v>
      </c>
      <c r="AD469" t="b">
        <f t="shared" si="29"/>
        <v>0</v>
      </c>
      <c r="AE469" t="b">
        <f t="shared" si="30"/>
        <v>1</v>
      </c>
      <c r="AF469" t="b">
        <f t="shared" si="31"/>
        <v>0</v>
      </c>
    </row>
    <row r="470" spans="1:32">
      <c r="A470" t="s">
        <v>1755</v>
      </c>
      <c r="B470" s="1" t="s">
        <v>1756</v>
      </c>
      <c r="C470" s="2">
        <v>46134.5555439815</v>
      </c>
      <c r="D470" s="1" t="s">
        <v>30</v>
      </c>
      <c r="E470" s="1" t="s">
        <v>586</v>
      </c>
      <c r="F470" s="1" t="s">
        <v>587</v>
      </c>
      <c r="G470" s="3">
        <v>46134</v>
      </c>
      <c r="H470" s="1" t="s">
        <v>588</v>
      </c>
      <c r="I470" s="1" t="s">
        <v>63</v>
      </c>
      <c r="J470" s="1" t="s">
        <v>244</v>
      </c>
      <c r="K470" s="1" t="s">
        <v>35</v>
      </c>
      <c r="L470" t="s">
        <v>587</v>
      </c>
      <c r="M470" s="1" t="s">
        <v>45</v>
      </c>
      <c r="N470" s="3">
        <v>46134</v>
      </c>
      <c r="O470" s="1" t="s">
        <v>30</v>
      </c>
      <c r="P470" s="4">
        <v>600000</v>
      </c>
      <c r="Q470" s="5">
        <v>212</v>
      </c>
      <c r="R470" s="1" t="s">
        <v>38</v>
      </c>
      <c r="T470" s="1" t="s">
        <v>39</v>
      </c>
      <c r="U470" s="4">
        <v>767399.98</v>
      </c>
      <c r="V470" s="5">
        <v>0</v>
      </c>
      <c r="W470" s="5">
        <v>895</v>
      </c>
      <c r="Y470" s="1" t="s">
        <v>58</v>
      </c>
      <c r="Z470" s="3">
        <v>46134</v>
      </c>
      <c r="AA470" s="1" t="s">
        <v>41</v>
      </c>
      <c r="AB470" s="1" t="s">
        <v>42</v>
      </c>
      <c r="AC470" t="b">
        <f t="shared" si="28"/>
        <v>1</v>
      </c>
      <c r="AD470" t="b">
        <f t="shared" si="29"/>
        <v>0</v>
      </c>
      <c r="AE470" t="b">
        <f t="shared" si="30"/>
        <v>0</v>
      </c>
      <c r="AF470" t="b">
        <f t="shared" si="31"/>
        <v>0</v>
      </c>
    </row>
    <row r="471" spans="1:32">
      <c r="A471" t="s">
        <v>1757</v>
      </c>
      <c r="B471" s="1" t="s">
        <v>1758</v>
      </c>
      <c r="C471" s="2">
        <v>46153.564108796301</v>
      </c>
      <c r="D471" s="1" t="s">
        <v>30</v>
      </c>
      <c r="E471" s="1" t="s">
        <v>1759</v>
      </c>
      <c r="F471" s="1" t="s">
        <v>533</v>
      </c>
      <c r="H471" s="1" t="s">
        <v>1760</v>
      </c>
      <c r="I471" s="1" t="s">
        <v>34</v>
      </c>
      <c r="J471" s="1" t="s">
        <v>244</v>
      </c>
      <c r="K471" s="1" t="s">
        <v>35</v>
      </c>
      <c r="L471" t="s">
        <v>443</v>
      </c>
      <c r="O471" s="1" t="s">
        <v>30</v>
      </c>
      <c r="P471" s="4">
        <v>600000</v>
      </c>
      <c r="Q471" s="5">
        <v>67</v>
      </c>
      <c r="S471" s="5">
        <v>9000</v>
      </c>
      <c r="T471" s="1" t="s">
        <v>39</v>
      </c>
      <c r="U471" s="4">
        <v>752700.28</v>
      </c>
      <c r="Z471" s="3">
        <v>46203</v>
      </c>
      <c r="AA471" s="1" t="s">
        <v>237</v>
      </c>
      <c r="AB471" s="1" t="s">
        <v>238</v>
      </c>
      <c r="AC471" t="b">
        <f t="shared" si="28"/>
        <v>0</v>
      </c>
      <c r="AD471" t="b">
        <f t="shared" si="29"/>
        <v>0</v>
      </c>
      <c r="AE471" t="b">
        <f t="shared" si="30"/>
        <v>0</v>
      </c>
      <c r="AF471" t="b">
        <f t="shared" si="31"/>
        <v>0</v>
      </c>
    </row>
    <row r="472" spans="1:32">
      <c r="A472" t="s">
        <v>1761</v>
      </c>
      <c r="B472" s="1" t="s">
        <v>1762</v>
      </c>
      <c r="C472" s="2">
        <v>46069.9188194444</v>
      </c>
      <c r="D472" s="1" t="s">
        <v>30</v>
      </c>
      <c r="E472" s="1" t="s">
        <v>1763</v>
      </c>
      <c r="F472" s="1" t="s">
        <v>952</v>
      </c>
      <c r="G472" s="3">
        <v>46135</v>
      </c>
      <c r="H472" s="1" t="s">
        <v>1764</v>
      </c>
      <c r="I472" s="1" t="s">
        <v>34</v>
      </c>
      <c r="J472" s="1" t="s">
        <v>35</v>
      </c>
      <c r="K472" s="1" t="s">
        <v>244</v>
      </c>
      <c r="L472" t="s">
        <v>952</v>
      </c>
      <c r="N472" s="3">
        <v>46069</v>
      </c>
      <c r="O472" s="1" t="s">
        <v>30</v>
      </c>
      <c r="P472" s="4">
        <v>700000</v>
      </c>
      <c r="Q472" s="5">
        <v>1</v>
      </c>
      <c r="R472" s="1" t="s">
        <v>38</v>
      </c>
      <c r="S472" s="5">
        <v>61200</v>
      </c>
      <c r="T472" s="1" t="s">
        <v>39</v>
      </c>
      <c r="U472" s="4">
        <v>844760.05</v>
      </c>
      <c r="Y472" s="1" t="s">
        <v>72</v>
      </c>
      <c r="Z472" s="3">
        <v>46135</v>
      </c>
      <c r="AA472" s="1" t="s">
        <v>41</v>
      </c>
      <c r="AB472" s="1" t="s">
        <v>42</v>
      </c>
      <c r="AC472" t="b">
        <f t="shared" si="28"/>
        <v>0</v>
      </c>
      <c r="AD472" t="b">
        <f t="shared" si="29"/>
        <v>0</v>
      </c>
      <c r="AE472" t="b">
        <f t="shared" si="30"/>
        <v>0</v>
      </c>
      <c r="AF472" t="b">
        <f t="shared" si="31"/>
        <v>0</v>
      </c>
    </row>
    <row r="473" spans="1:32">
      <c r="A473" t="s">
        <v>1765</v>
      </c>
      <c r="B473" s="1" t="s">
        <v>1766</v>
      </c>
      <c r="C473" s="2">
        <v>46120.743275462999</v>
      </c>
      <c r="D473" s="1" t="s">
        <v>30</v>
      </c>
      <c r="E473" s="1" t="s">
        <v>1767</v>
      </c>
      <c r="F473" s="1" t="s">
        <v>361</v>
      </c>
      <c r="G473" s="3">
        <v>46120</v>
      </c>
      <c r="H473" s="1" t="s">
        <v>1768</v>
      </c>
      <c r="I473" s="1" t="s">
        <v>34</v>
      </c>
      <c r="J473" s="1" t="s">
        <v>1769</v>
      </c>
      <c r="K473" s="1" t="s">
        <v>35</v>
      </c>
      <c r="L473" t="s">
        <v>361</v>
      </c>
      <c r="M473" s="1" t="s">
        <v>45</v>
      </c>
      <c r="N473" s="3">
        <v>46120</v>
      </c>
      <c r="O473" s="1" t="s">
        <v>30</v>
      </c>
      <c r="P473" s="4">
        <v>720000</v>
      </c>
      <c r="Q473" s="5">
        <v>24</v>
      </c>
      <c r="R473" s="1" t="s">
        <v>38</v>
      </c>
      <c r="S473" s="5">
        <v>24000</v>
      </c>
      <c r="T473" s="1" t="s">
        <v>39</v>
      </c>
      <c r="U473" s="4">
        <v>902592.33</v>
      </c>
      <c r="Y473" s="1" t="s">
        <v>72</v>
      </c>
      <c r="Z473" s="3">
        <v>46120</v>
      </c>
      <c r="AA473" s="1" t="s">
        <v>41</v>
      </c>
      <c r="AB473" s="1" t="s">
        <v>42</v>
      </c>
      <c r="AC473" t="b">
        <f t="shared" si="28"/>
        <v>0</v>
      </c>
      <c r="AD473" t="b">
        <f t="shared" si="29"/>
        <v>0</v>
      </c>
      <c r="AE473" t="b">
        <f t="shared" si="30"/>
        <v>0</v>
      </c>
      <c r="AF473" t="b">
        <f t="shared" si="31"/>
        <v>0</v>
      </c>
    </row>
    <row r="474" spans="1:32">
      <c r="A474" t="s">
        <v>1770</v>
      </c>
      <c r="B474" s="1" t="s">
        <v>1771</v>
      </c>
      <c r="C474" s="2">
        <v>46129.827129629601</v>
      </c>
      <c r="D474" s="1" t="s">
        <v>30</v>
      </c>
      <c r="E474" s="1" t="s">
        <v>1772</v>
      </c>
      <c r="F474" s="1" t="s">
        <v>883</v>
      </c>
      <c r="G474" s="3">
        <v>46130</v>
      </c>
      <c r="H474" s="1" t="s">
        <v>1773</v>
      </c>
      <c r="I474" s="1" t="s">
        <v>63</v>
      </c>
      <c r="J474" s="1" t="s">
        <v>35</v>
      </c>
      <c r="K474" s="1" t="s">
        <v>627</v>
      </c>
      <c r="L474" t="s">
        <v>883</v>
      </c>
      <c r="M474" s="1" t="s">
        <v>37</v>
      </c>
      <c r="N474" s="3">
        <v>46129</v>
      </c>
      <c r="O474" s="1" t="s">
        <v>30</v>
      </c>
      <c r="P474" s="4">
        <v>751960</v>
      </c>
      <c r="Q474" s="5">
        <v>1</v>
      </c>
      <c r="R474" s="1" t="s">
        <v>38</v>
      </c>
      <c r="T474" s="1" t="s">
        <v>39</v>
      </c>
      <c r="U474" s="4">
        <v>955816.39</v>
      </c>
      <c r="V474" s="5">
        <v>1</v>
      </c>
      <c r="W474" s="5">
        <v>0</v>
      </c>
      <c r="Y474" s="1" t="s">
        <v>72</v>
      </c>
      <c r="Z474" s="3">
        <v>46130</v>
      </c>
      <c r="AA474" s="1" t="s">
        <v>41</v>
      </c>
      <c r="AB474" s="1" t="s">
        <v>42</v>
      </c>
      <c r="AC474" t="b">
        <f t="shared" si="28"/>
        <v>0</v>
      </c>
      <c r="AD474" t="b">
        <f t="shared" si="29"/>
        <v>0</v>
      </c>
      <c r="AE474" t="b">
        <f t="shared" si="30"/>
        <v>0</v>
      </c>
      <c r="AF474" t="b">
        <f t="shared" si="31"/>
        <v>0</v>
      </c>
    </row>
    <row r="475" spans="1:32">
      <c r="A475" t="s">
        <v>1774</v>
      </c>
      <c r="B475" s="1" t="s">
        <v>1775</v>
      </c>
      <c r="C475" s="2">
        <v>46055.511597222197</v>
      </c>
      <c r="D475" s="1" t="s">
        <v>30</v>
      </c>
      <c r="E475" s="1" t="s">
        <v>532</v>
      </c>
      <c r="F475" s="1" t="s">
        <v>533</v>
      </c>
      <c r="G475" s="3">
        <v>46054</v>
      </c>
      <c r="H475" s="1" t="s">
        <v>534</v>
      </c>
      <c r="I475" s="1" t="s">
        <v>63</v>
      </c>
      <c r="J475" s="1" t="s">
        <v>35</v>
      </c>
      <c r="K475" s="1" t="s">
        <v>1776</v>
      </c>
      <c r="L475" t="s">
        <v>274</v>
      </c>
      <c r="M475" s="1" t="s">
        <v>37</v>
      </c>
      <c r="N475" s="3">
        <v>46055</v>
      </c>
      <c r="O475" s="1" t="s">
        <v>30</v>
      </c>
      <c r="P475" s="4">
        <v>775372</v>
      </c>
      <c r="Q475" s="5">
        <v>10</v>
      </c>
      <c r="R475" s="1" t="s">
        <v>38</v>
      </c>
      <c r="T475" s="1" t="s">
        <v>39</v>
      </c>
      <c r="U475" s="4">
        <v>930601.6</v>
      </c>
      <c r="V475" s="5">
        <v>52</v>
      </c>
      <c r="W475" s="5">
        <v>0</v>
      </c>
      <c r="Z475" s="3">
        <v>46054</v>
      </c>
      <c r="AA475" s="1" t="s">
        <v>41</v>
      </c>
      <c r="AB475" s="1" t="s">
        <v>42</v>
      </c>
      <c r="AC475" t="b">
        <f t="shared" si="28"/>
        <v>0</v>
      </c>
      <c r="AD475" t="b">
        <f t="shared" si="29"/>
        <v>0</v>
      </c>
      <c r="AE475" t="b">
        <f t="shared" si="30"/>
        <v>0</v>
      </c>
      <c r="AF475" t="b">
        <f t="shared" si="31"/>
        <v>0</v>
      </c>
    </row>
    <row r="476" spans="1:32">
      <c r="A476" t="s">
        <v>1777</v>
      </c>
      <c r="B476" s="1" t="s">
        <v>1778</v>
      </c>
      <c r="C476" s="2">
        <v>46123.018946759301</v>
      </c>
      <c r="D476" s="1" t="s">
        <v>30</v>
      </c>
      <c r="E476" s="1" t="s">
        <v>1703</v>
      </c>
      <c r="F476" s="1" t="s">
        <v>32</v>
      </c>
      <c r="G476" s="3">
        <v>46119</v>
      </c>
      <c r="H476" s="1" t="s">
        <v>1779</v>
      </c>
      <c r="I476" s="1" t="s">
        <v>34</v>
      </c>
      <c r="J476" s="1" t="s">
        <v>244</v>
      </c>
      <c r="K476" s="1" t="s">
        <v>35</v>
      </c>
      <c r="L476" t="s">
        <v>32</v>
      </c>
      <c r="M476" s="1" t="s">
        <v>45</v>
      </c>
      <c r="N476" s="3">
        <v>46122</v>
      </c>
      <c r="O476" s="1" t="s">
        <v>30</v>
      </c>
      <c r="P476" s="4">
        <v>831840</v>
      </c>
      <c r="Q476" s="5">
        <v>30</v>
      </c>
      <c r="R476" s="1" t="s">
        <v>38</v>
      </c>
      <c r="S476" s="5">
        <v>8665</v>
      </c>
      <c r="T476" s="1" t="s">
        <v>39</v>
      </c>
      <c r="U476" s="4">
        <v>1050198.31</v>
      </c>
      <c r="Y476" s="1" t="s">
        <v>40</v>
      </c>
      <c r="Z476" s="3">
        <v>46119</v>
      </c>
      <c r="AA476" s="1" t="s">
        <v>41</v>
      </c>
      <c r="AB476" s="1" t="s">
        <v>42</v>
      </c>
      <c r="AC476" t="b">
        <f t="shared" si="28"/>
        <v>0</v>
      </c>
      <c r="AD476" t="b">
        <f t="shared" si="29"/>
        <v>0</v>
      </c>
      <c r="AE476" t="b">
        <f t="shared" si="30"/>
        <v>0</v>
      </c>
      <c r="AF476" t="b">
        <f t="shared" si="31"/>
        <v>0</v>
      </c>
    </row>
    <row r="477" spans="1:32">
      <c r="A477" t="s">
        <v>1780</v>
      </c>
      <c r="B477" s="1" t="s">
        <v>1781</v>
      </c>
      <c r="C477" s="2">
        <v>46108.7368055556</v>
      </c>
      <c r="D477" s="1" t="s">
        <v>30</v>
      </c>
      <c r="E477" s="1" t="s">
        <v>1782</v>
      </c>
      <c r="F477" s="1" t="s">
        <v>266</v>
      </c>
      <c r="G477" s="3">
        <v>46053</v>
      </c>
      <c r="H477" s="1" t="s">
        <v>1783</v>
      </c>
      <c r="I477" s="1" t="s">
        <v>34</v>
      </c>
      <c r="J477" s="1" t="s">
        <v>244</v>
      </c>
      <c r="K477" s="1" t="s">
        <v>35</v>
      </c>
      <c r="L477" t="s">
        <v>266</v>
      </c>
      <c r="N477" s="3">
        <v>46042</v>
      </c>
      <c r="O477" s="1" t="s">
        <v>30</v>
      </c>
      <c r="P477" s="4">
        <v>840000</v>
      </c>
      <c r="Q477" s="5">
        <v>380</v>
      </c>
      <c r="R477" s="1" t="s">
        <v>38</v>
      </c>
      <c r="S477" s="5">
        <v>24000</v>
      </c>
      <c r="T477" s="1" t="s">
        <v>39</v>
      </c>
      <c r="U477" s="4">
        <v>994139.81</v>
      </c>
      <c r="Y477" s="1" t="s">
        <v>72</v>
      </c>
      <c r="Z477" s="3">
        <v>46053</v>
      </c>
      <c r="AA477" s="1" t="s">
        <v>41</v>
      </c>
      <c r="AB477" s="1" t="s">
        <v>42</v>
      </c>
      <c r="AC477" t="b">
        <f t="shared" si="28"/>
        <v>0</v>
      </c>
      <c r="AD477" t="b">
        <f t="shared" si="29"/>
        <v>0</v>
      </c>
      <c r="AE477" t="b">
        <f t="shared" si="30"/>
        <v>0</v>
      </c>
      <c r="AF477" t="b">
        <f t="shared" si="31"/>
        <v>0</v>
      </c>
    </row>
    <row r="478" spans="1:32">
      <c r="A478" t="s">
        <v>1784</v>
      </c>
      <c r="B478" s="1" t="s">
        <v>1785</v>
      </c>
      <c r="C478" s="2">
        <v>46099.925636574102</v>
      </c>
      <c r="D478" s="1" t="s">
        <v>30</v>
      </c>
      <c r="E478" s="1" t="s">
        <v>273</v>
      </c>
      <c r="F478" s="1" t="s">
        <v>274</v>
      </c>
      <c r="G478" s="3">
        <v>46143</v>
      </c>
      <c r="H478" s="1" t="s">
        <v>862</v>
      </c>
      <c r="I478" s="1" t="s">
        <v>34</v>
      </c>
      <c r="J478" s="1" t="s">
        <v>232</v>
      </c>
      <c r="K478" s="1" t="s">
        <v>35</v>
      </c>
      <c r="L478" t="s">
        <v>274</v>
      </c>
      <c r="M478" s="1" t="s">
        <v>45</v>
      </c>
      <c r="N478" s="3">
        <v>46099</v>
      </c>
      <c r="O478" s="1" t="s">
        <v>30</v>
      </c>
      <c r="P478" s="4">
        <v>842800</v>
      </c>
      <c r="Q478" s="5">
        <v>350</v>
      </c>
      <c r="R478" s="1" t="s">
        <v>38</v>
      </c>
      <c r="S478" s="5">
        <v>141000</v>
      </c>
      <c r="T478" s="1" t="s">
        <v>39</v>
      </c>
      <c r="U478" s="4">
        <v>1046673.13</v>
      </c>
      <c r="Y478" s="1" t="s">
        <v>72</v>
      </c>
      <c r="Z478" s="3">
        <v>46143</v>
      </c>
      <c r="AA478" s="1" t="s">
        <v>41</v>
      </c>
      <c r="AB478" s="1" t="s">
        <v>42</v>
      </c>
      <c r="AC478" t="b">
        <f t="shared" si="28"/>
        <v>0</v>
      </c>
      <c r="AD478" t="b">
        <f t="shared" si="29"/>
        <v>0</v>
      </c>
      <c r="AE478" t="b">
        <f t="shared" si="30"/>
        <v>0</v>
      </c>
      <c r="AF478" t="b">
        <f t="shared" si="31"/>
        <v>0</v>
      </c>
    </row>
    <row r="479" spans="1:32">
      <c r="A479" t="s">
        <v>1786</v>
      </c>
      <c r="B479" s="1" t="s">
        <v>1787</v>
      </c>
      <c r="C479" s="2">
        <v>46055.511550925898</v>
      </c>
      <c r="D479" s="1" t="s">
        <v>30</v>
      </c>
      <c r="E479" s="1" t="s">
        <v>532</v>
      </c>
      <c r="F479" s="1" t="s">
        <v>533</v>
      </c>
      <c r="G479" s="3">
        <v>46054</v>
      </c>
      <c r="H479" s="1" t="s">
        <v>534</v>
      </c>
      <c r="I479" s="1" t="s">
        <v>63</v>
      </c>
      <c r="J479" s="1" t="s">
        <v>35</v>
      </c>
      <c r="K479" s="1" t="s">
        <v>144</v>
      </c>
      <c r="L479" t="s">
        <v>274</v>
      </c>
      <c r="M479" s="1" t="s">
        <v>37</v>
      </c>
      <c r="N479" s="3">
        <v>46055</v>
      </c>
      <c r="O479" s="1" t="s">
        <v>30</v>
      </c>
      <c r="P479" s="4">
        <v>898597</v>
      </c>
      <c r="Q479" s="5">
        <v>20</v>
      </c>
      <c r="R479" s="1" t="s">
        <v>38</v>
      </c>
      <c r="T479" s="1" t="s">
        <v>39</v>
      </c>
      <c r="U479" s="4">
        <v>1078496.27</v>
      </c>
      <c r="V479" s="5">
        <v>202</v>
      </c>
      <c r="W479" s="5">
        <v>0</v>
      </c>
      <c r="Z479" s="3">
        <v>46054</v>
      </c>
      <c r="AA479" s="1" t="s">
        <v>41</v>
      </c>
      <c r="AB479" s="1" t="s">
        <v>42</v>
      </c>
      <c r="AC479" t="b">
        <f t="shared" si="28"/>
        <v>0</v>
      </c>
      <c r="AD479" t="b">
        <f t="shared" si="29"/>
        <v>0</v>
      </c>
      <c r="AE479" t="b">
        <f t="shared" si="30"/>
        <v>0</v>
      </c>
      <c r="AF479" t="b">
        <f t="shared" si="31"/>
        <v>0</v>
      </c>
    </row>
    <row r="480" spans="1:32">
      <c r="A480" t="s">
        <v>1788</v>
      </c>
      <c r="B480" s="1" t="s">
        <v>1789</v>
      </c>
      <c r="C480" s="2">
        <v>46080.506354166697</v>
      </c>
      <c r="D480" s="1" t="s">
        <v>30</v>
      </c>
      <c r="E480" s="1" t="s">
        <v>1790</v>
      </c>
      <c r="F480" s="1" t="s">
        <v>1791</v>
      </c>
      <c r="G480" s="3">
        <v>46081</v>
      </c>
      <c r="H480" s="1" t="s">
        <v>1792</v>
      </c>
      <c r="I480" s="1" t="s">
        <v>34</v>
      </c>
      <c r="J480" s="1" t="s">
        <v>35</v>
      </c>
      <c r="K480" s="1" t="s">
        <v>244</v>
      </c>
      <c r="L480" t="s">
        <v>1791</v>
      </c>
      <c r="M480" s="1" t="s">
        <v>45</v>
      </c>
      <c r="N480" s="3">
        <v>46080</v>
      </c>
      <c r="O480" s="1" t="s">
        <v>30</v>
      </c>
      <c r="P480" s="4">
        <v>900000</v>
      </c>
      <c r="Q480" s="5">
        <v>6</v>
      </c>
      <c r="R480" s="1" t="s">
        <v>38</v>
      </c>
      <c r="S480" s="5">
        <v>11364</v>
      </c>
      <c r="T480" s="1" t="s">
        <v>39</v>
      </c>
      <c r="U480" s="4">
        <v>1110509.74</v>
      </c>
      <c r="Y480" s="1" t="s">
        <v>115</v>
      </c>
      <c r="Z480" s="3">
        <v>46081</v>
      </c>
      <c r="AA480" s="1" t="s">
        <v>41</v>
      </c>
      <c r="AB480" s="1" t="s">
        <v>42</v>
      </c>
      <c r="AC480" t="b">
        <f t="shared" si="28"/>
        <v>0</v>
      </c>
      <c r="AD480" t="b">
        <f t="shared" si="29"/>
        <v>0</v>
      </c>
      <c r="AE480" t="b">
        <f t="shared" si="30"/>
        <v>0</v>
      </c>
      <c r="AF480" t="b">
        <f t="shared" si="31"/>
        <v>0</v>
      </c>
    </row>
    <row r="481" spans="1:32">
      <c r="A481" t="s">
        <v>1793</v>
      </c>
      <c r="B481" s="1" t="s">
        <v>1794</v>
      </c>
      <c r="C481" s="2">
        <v>46123.103553240697</v>
      </c>
      <c r="D481" s="1" t="s">
        <v>30</v>
      </c>
      <c r="E481" s="1" t="s">
        <v>1795</v>
      </c>
      <c r="F481" s="1" t="s">
        <v>1081</v>
      </c>
      <c r="G481" s="3">
        <v>46127</v>
      </c>
      <c r="H481" s="1" t="s">
        <v>1796</v>
      </c>
      <c r="I481" s="1" t="s">
        <v>63</v>
      </c>
      <c r="J481" s="1" t="s">
        <v>232</v>
      </c>
      <c r="K481" s="1" t="s">
        <v>35</v>
      </c>
      <c r="L481" t="s">
        <v>387</v>
      </c>
      <c r="N481" s="3">
        <v>46122</v>
      </c>
      <c r="O481" s="1" t="s">
        <v>30</v>
      </c>
      <c r="P481" s="4">
        <v>960000</v>
      </c>
      <c r="Q481" s="5">
        <v>60</v>
      </c>
      <c r="R481" s="1" t="s">
        <v>38</v>
      </c>
      <c r="T481" s="1" t="s">
        <v>39</v>
      </c>
      <c r="U481" s="4">
        <v>1212000.3600000001</v>
      </c>
      <c r="V481" s="5">
        <v>144</v>
      </c>
      <c r="W481" s="5">
        <v>0</v>
      </c>
      <c r="Y481" s="1" t="s">
        <v>58</v>
      </c>
      <c r="Z481" s="3">
        <v>46127</v>
      </c>
      <c r="AA481" s="1" t="s">
        <v>41</v>
      </c>
      <c r="AB481" s="1" t="s">
        <v>208</v>
      </c>
      <c r="AC481" t="b">
        <f t="shared" si="28"/>
        <v>0</v>
      </c>
      <c r="AD481" t="b">
        <f t="shared" si="29"/>
        <v>0</v>
      </c>
      <c r="AE481" t="b">
        <f t="shared" si="30"/>
        <v>0</v>
      </c>
      <c r="AF481" t="b">
        <f t="shared" si="31"/>
        <v>0</v>
      </c>
    </row>
    <row r="482" spans="1:32">
      <c r="A482" t="s">
        <v>1797</v>
      </c>
      <c r="B482" s="1" t="s">
        <v>1798</v>
      </c>
      <c r="C482" s="2">
        <v>46090.920474537001</v>
      </c>
      <c r="D482" s="1" t="s">
        <v>30</v>
      </c>
      <c r="E482" s="1" t="s">
        <v>1799</v>
      </c>
      <c r="F482" s="1" t="s">
        <v>274</v>
      </c>
      <c r="G482" s="3">
        <v>46142</v>
      </c>
      <c r="H482" s="1" t="s">
        <v>1800</v>
      </c>
      <c r="I482" s="1" t="s">
        <v>63</v>
      </c>
      <c r="J482" s="1" t="s">
        <v>35</v>
      </c>
      <c r="K482" s="1" t="s">
        <v>1801</v>
      </c>
      <c r="L482" t="s">
        <v>274</v>
      </c>
      <c r="M482" s="1" t="s">
        <v>37</v>
      </c>
      <c r="N482" s="3">
        <v>46090</v>
      </c>
      <c r="O482" s="1" t="s">
        <v>30</v>
      </c>
      <c r="P482" s="4">
        <v>967360</v>
      </c>
      <c r="Q482" s="5">
        <v>10</v>
      </c>
      <c r="R482" s="1" t="s">
        <v>38</v>
      </c>
      <c r="T482" s="1" t="s">
        <v>39</v>
      </c>
      <c r="U482" s="4">
        <v>1194108.95</v>
      </c>
      <c r="V482" s="5">
        <v>40</v>
      </c>
      <c r="W482" s="5">
        <v>0</v>
      </c>
      <c r="Y482" s="1" t="s">
        <v>72</v>
      </c>
      <c r="Z482" s="3">
        <v>46142</v>
      </c>
      <c r="AA482" s="1" t="s">
        <v>41</v>
      </c>
      <c r="AB482" s="1" t="s">
        <v>42</v>
      </c>
      <c r="AC482" t="b">
        <f t="shared" si="28"/>
        <v>0</v>
      </c>
      <c r="AD482" t="b">
        <f t="shared" si="29"/>
        <v>0</v>
      </c>
      <c r="AE482" t="b">
        <f t="shared" si="30"/>
        <v>0</v>
      </c>
      <c r="AF482" t="b">
        <f t="shared" si="31"/>
        <v>0</v>
      </c>
    </row>
    <row r="483" spans="1:32">
      <c r="A483" t="s">
        <v>1802</v>
      </c>
      <c r="B483" s="1" t="s">
        <v>1803</v>
      </c>
      <c r="C483" s="2">
        <v>46126.989328703698</v>
      </c>
      <c r="D483" s="1" t="s">
        <v>30</v>
      </c>
      <c r="E483" s="1" t="s">
        <v>882</v>
      </c>
      <c r="F483" s="1" t="s">
        <v>883</v>
      </c>
      <c r="G483" s="3">
        <v>46127</v>
      </c>
      <c r="H483" s="1" t="s">
        <v>1804</v>
      </c>
      <c r="I483" s="1" t="s">
        <v>34</v>
      </c>
      <c r="J483" s="1" t="s">
        <v>71</v>
      </c>
      <c r="K483" s="1" t="s">
        <v>35</v>
      </c>
      <c r="L483" t="s">
        <v>883</v>
      </c>
      <c r="M483" s="1" t="s">
        <v>45</v>
      </c>
      <c r="N483" s="3">
        <v>46126</v>
      </c>
      <c r="O483" s="1" t="s">
        <v>30</v>
      </c>
      <c r="P483" s="4">
        <v>974902.8</v>
      </c>
      <c r="Q483" s="5">
        <v>95</v>
      </c>
      <c r="R483" s="1" t="s">
        <v>38</v>
      </c>
      <c r="S483" s="5">
        <v>19065</v>
      </c>
      <c r="T483" s="1" t="s">
        <v>39</v>
      </c>
      <c r="U483" s="4">
        <v>1240271.6200000001</v>
      </c>
      <c r="Y483" s="1" t="s">
        <v>72</v>
      </c>
      <c r="Z483" s="3">
        <v>46127</v>
      </c>
      <c r="AA483" s="1" t="s">
        <v>41</v>
      </c>
      <c r="AB483" s="1" t="s">
        <v>42</v>
      </c>
      <c r="AC483" t="b">
        <f t="shared" si="28"/>
        <v>0</v>
      </c>
      <c r="AD483" t="b">
        <f t="shared" si="29"/>
        <v>0</v>
      </c>
      <c r="AE483" t="b">
        <f t="shared" si="30"/>
        <v>0</v>
      </c>
      <c r="AF483" t="b">
        <f t="shared" si="31"/>
        <v>0</v>
      </c>
    </row>
    <row r="484" spans="1:32">
      <c r="A484" t="s">
        <v>1805</v>
      </c>
      <c r="B484" s="1" t="s">
        <v>1806</v>
      </c>
      <c r="C484" s="2">
        <v>46140.7561458333</v>
      </c>
      <c r="D484" s="1" t="s">
        <v>30</v>
      </c>
      <c r="E484" s="1" t="s">
        <v>1316</v>
      </c>
      <c r="F484" s="1" t="s">
        <v>1317</v>
      </c>
      <c r="G484" s="3">
        <v>46143</v>
      </c>
      <c r="H484" s="1" t="s">
        <v>1807</v>
      </c>
      <c r="I484" s="1" t="s">
        <v>34</v>
      </c>
      <c r="J484" s="1" t="s">
        <v>324</v>
      </c>
      <c r="K484" s="1" t="s">
        <v>35</v>
      </c>
      <c r="L484" t="s">
        <v>1317</v>
      </c>
      <c r="M484" s="1" t="s">
        <v>45</v>
      </c>
      <c r="N484" s="3">
        <v>46140</v>
      </c>
      <c r="O484" s="1" t="s">
        <v>30</v>
      </c>
      <c r="P484" s="4">
        <v>1000000</v>
      </c>
      <c r="Q484" s="5">
        <v>80</v>
      </c>
      <c r="R484" s="1" t="s">
        <v>65</v>
      </c>
      <c r="S484" s="5">
        <v>40000</v>
      </c>
      <c r="T484" s="1" t="s">
        <v>39</v>
      </c>
      <c r="U484" s="4">
        <v>1277600.03</v>
      </c>
      <c r="Y484" s="1" t="s">
        <v>961</v>
      </c>
      <c r="Z484" s="3">
        <v>46143</v>
      </c>
      <c r="AA484" s="1" t="s">
        <v>41</v>
      </c>
      <c r="AB484" s="1" t="s">
        <v>42</v>
      </c>
      <c r="AC484" t="b">
        <f t="shared" si="28"/>
        <v>1</v>
      </c>
      <c r="AD484" t="b">
        <f t="shared" si="29"/>
        <v>0</v>
      </c>
      <c r="AE484" t="b">
        <f t="shared" si="30"/>
        <v>0</v>
      </c>
      <c r="AF484" t="b">
        <f t="shared" si="31"/>
        <v>0</v>
      </c>
    </row>
    <row r="485" spans="1:32">
      <c r="A485" t="s">
        <v>1808</v>
      </c>
      <c r="B485" s="1" t="s">
        <v>1809</v>
      </c>
      <c r="C485" s="2">
        <v>46157.872430555602</v>
      </c>
      <c r="D485" s="1" t="s">
        <v>30</v>
      </c>
      <c r="E485" s="1" t="s">
        <v>1810</v>
      </c>
      <c r="F485" s="1" t="s">
        <v>631</v>
      </c>
      <c r="G485" s="3">
        <v>46157</v>
      </c>
      <c r="H485" s="1" t="s">
        <v>1811</v>
      </c>
      <c r="I485" s="1" t="s">
        <v>63</v>
      </c>
      <c r="J485" s="1" t="s">
        <v>711</v>
      </c>
      <c r="K485" s="1" t="s">
        <v>35</v>
      </c>
      <c r="L485" t="s">
        <v>631</v>
      </c>
      <c r="M485" s="1" t="s">
        <v>45</v>
      </c>
      <c r="N485" s="3">
        <v>46157</v>
      </c>
      <c r="O485" s="1" t="s">
        <v>30</v>
      </c>
      <c r="P485" s="4">
        <v>1000000</v>
      </c>
      <c r="Q485" s="5">
        <v>30</v>
      </c>
      <c r="R485" s="1" t="s">
        <v>38</v>
      </c>
      <c r="T485" s="1" t="s">
        <v>39</v>
      </c>
      <c r="U485" s="4">
        <v>1303100.43</v>
      </c>
      <c r="V485" s="5">
        <v>50</v>
      </c>
      <c r="W485" s="5">
        <v>0</v>
      </c>
      <c r="Y485" s="1" t="s">
        <v>58</v>
      </c>
      <c r="Z485" s="3">
        <v>46157</v>
      </c>
      <c r="AA485" s="1" t="s">
        <v>41</v>
      </c>
      <c r="AB485" s="1" t="s">
        <v>42</v>
      </c>
      <c r="AC485" t="b">
        <f t="shared" si="28"/>
        <v>0</v>
      </c>
      <c r="AD485" t="b">
        <f t="shared" si="29"/>
        <v>0</v>
      </c>
      <c r="AE485" t="b">
        <f t="shared" si="30"/>
        <v>0</v>
      </c>
      <c r="AF485" t="b">
        <f t="shared" si="31"/>
        <v>0</v>
      </c>
    </row>
    <row r="486" spans="1:32">
      <c r="A486" t="s">
        <v>1812</v>
      </c>
      <c r="B486" s="1" t="s">
        <v>1813</v>
      </c>
      <c r="C486" s="2">
        <v>46150.809537036999</v>
      </c>
      <c r="D486" s="1" t="s">
        <v>30</v>
      </c>
      <c r="E486" s="1" t="s">
        <v>1814</v>
      </c>
      <c r="F486" s="1" t="s">
        <v>631</v>
      </c>
      <c r="G486" s="3">
        <v>46150</v>
      </c>
      <c r="H486" s="1" t="s">
        <v>1815</v>
      </c>
      <c r="I486" s="1" t="s">
        <v>63</v>
      </c>
      <c r="J486" s="1" t="s">
        <v>711</v>
      </c>
      <c r="K486" s="1" t="s">
        <v>35</v>
      </c>
      <c r="L486" t="s">
        <v>631</v>
      </c>
      <c r="N486" s="3">
        <v>46150</v>
      </c>
      <c r="O486" s="1" t="s">
        <v>30</v>
      </c>
      <c r="P486" s="4">
        <v>1100000</v>
      </c>
      <c r="Q486" s="5">
        <v>40</v>
      </c>
      <c r="R486" s="1" t="s">
        <v>38</v>
      </c>
      <c r="T486" s="1" t="s">
        <v>39</v>
      </c>
      <c r="U486" s="4">
        <v>1422410.32</v>
      </c>
      <c r="V486" s="5">
        <v>80</v>
      </c>
      <c r="W486" s="5">
        <v>0</v>
      </c>
      <c r="Y486" s="1" t="s">
        <v>58</v>
      </c>
      <c r="Z486" s="3">
        <v>46150</v>
      </c>
      <c r="AA486" s="1" t="s">
        <v>41</v>
      </c>
      <c r="AB486" s="1" t="s">
        <v>208</v>
      </c>
      <c r="AC486" t="b">
        <f t="shared" si="28"/>
        <v>0</v>
      </c>
      <c r="AD486" t="b">
        <f t="shared" si="29"/>
        <v>0</v>
      </c>
      <c r="AE486" t="b">
        <f t="shared" si="30"/>
        <v>0</v>
      </c>
      <c r="AF486" t="b">
        <f t="shared" si="31"/>
        <v>0</v>
      </c>
    </row>
    <row r="487" spans="1:32">
      <c r="A487" t="s">
        <v>1816</v>
      </c>
      <c r="B487" s="1" t="s">
        <v>1817</v>
      </c>
      <c r="C487" s="2">
        <v>46140.747395833299</v>
      </c>
      <c r="D487" s="1" t="s">
        <v>30</v>
      </c>
      <c r="E487" s="1" t="s">
        <v>1316</v>
      </c>
      <c r="F487" s="1" t="s">
        <v>1317</v>
      </c>
      <c r="G487" s="3">
        <v>46143</v>
      </c>
      <c r="H487" s="1" t="s">
        <v>1818</v>
      </c>
      <c r="I487" s="1" t="s">
        <v>34</v>
      </c>
      <c r="J487" s="1" t="s">
        <v>103</v>
      </c>
      <c r="K487" s="1" t="s">
        <v>35</v>
      </c>
      <c r="L487" t="s">
        <v>1317</v>
      </c>
      <c r="M487" s="1" t="s">
        <v>45</v>
      </c>
      <c r="N487" s="3">
        <v>46140</v>
      </c>
      <c r="O487" s="1" t="s">
        <v>30</v>
      </c>
      <c r="P487" s="4">
        <v>1100000</v>
      </c>
      <c r="Q487" s="5">
        <v>90</v>
      </c>
      <c r="R487" s="1" t="s">
        <v>65</v>
      </c>
      <c r="S487" s="5">
        <v>30000</v>
      </c>
      <c r="T487" s="1" t="s">
        <v>39</v>
      </c>
      <c r="U487" s="4">
        <v>1405360.03</v>
      </c>
      <c r="Y487" s="1" t="s">
        <v>961</v>
      </c>
      <c r="Z487" s="3">
        <v>46143</v>
      </c>
      <c r="AA487" s="1" t="s">
        <v>41</v>
      </c>
      <c r="AB487" s="1" t="s">
        <v>42</v>
      </c>
      <c r="AC487" t="b">
        <f t="shared" si="28"/>
        <v>1</v>
      </c>
      <c r="AD487" t="b">
        <f t="shared" si="29"/>
        <v>0</v>
      </c>
      <c r="AE487" t="b">
        <f t="shared" si="30"/>
        <v>0</v>
      </c>
      <c r="AF487" t="b">
        <f t="shared" si="31"/>
        <v>0</v>
      </c>
    </row>
    <row r="488" spans="1:32">
      <c r="A488" t="s">
        <v>1819</v>
      </c>
      <c r="B488" s="1" t="s">
        <v>1820</v>
      </c>
      <c r="C488" s="2">
        <v>46055.511493055601</v>
      </c>
      <c r="D488" s="1" t="s">
        <v>30</v>
      </c>
      <c r="E488" s="1" t="s">
        <v>532</v>
      </c>
      <c r="F488" s="1" t="s">
        <v>533</v>
      </c>
      <c r="G488" s="3">
        <v>46054</v>
      </c>
      <c r="H488" s="1" t="s">
        <v>534</v>
      </c>
      <c r="I488" s="1" t="s">
        <v>63</v>
      </c>
      <c r="J488" s="1" t="s">
        <v>35</v>
      </c>
      <c r="K488" s="1" t="s">
        <v>1206</v>
      </c>
      <c r="L488" t="s">
        <v>274</v>
      </c>
      <c r="M488" s="1" t="s">
        <v>37</v>
      </c>
      <c r="N488" s="3">
        <v>46055</v>
      </c>
      <c r="O488" s="1" t="s">
        <v>30</v>
      </c>
      <c r="P488" s="4">
        <v>1102112</v>
      </c>
      <c r="Q488" s="5">
        <v>30</v>
      </c>
      <c r="R488" s="1" t="s">
        <v>38</v>
      </c>
      <c r="T488" s="1" t="s">
        <v>39</v>
      </c>
      <c r="U488" s="4">
        <v>1322755</v>
      </c>
      <c r="V488" s="5">
        <v>176</v>
      </c>
      <c r="W488" s="5">
        <v>0</v>
      </c>
      <c r="Z488" s="3">
        <v>46054</v>
      </c>
      <c r="AA488" s="1" t="s">
        <v>41</v>
      </c>
      <c r="AB488" s="1" t="s">
        <v>42</v>
      </c>
      <c r="AC488" t="b">
        <f t="shared" si="28"/>
        <v>0</v>
      </c>
      <c r="AD488" t="b">
        <f t="shared" si="29"/>
        <v>0</v>
      </c>
      <c r="AE488" t="b">
        <f t="shared" si="30"/>
        <v>0</v>
      </c>
      <c r="AF488" t="b">
        <f t="shared" si="31"/>
        <v>0</v>
      </c>
    </row>
    <row r="489" spans="1:32">
      <c r="A489" t="s">
        <v>1821</v>
      </c>
      <c r="B489" s="1" t="s">
        <v>1822</v>
      </c>
      <c r="C489" s="2">
        <v>46034.531620370399</v>
      </c>
      <c r="D489" s="1" t="s">
        <v>30</v>
      </c>
      <c r="E489" s="1" t="s">
        <v>1432</v>
      </c>
      <c r="F489" s="1" t="s">
        <v>266</v>
      </c>
      <c r="G489" s="3">
        <v>46034</v>
      </c>
      <c r="H489" s="1" t="s">
        <v>1823</v>
      </c>
      <c r="I489" s="1" t="s">
        <v>63</v>
      </c>
      <c r="J489" s="1" t="s">
        <v>35</v>
      </c>
      <c r="K489" s="1" t="s">
        <v>220</v>
      </c>
      <c r="L489" t="s">
        <v>266</v>
      </c>
      <c r="N489" s="3">
        <v>46034</v>
      </c>
      <c r="O489" s="1" t="s">
        <v>30</v>
      </c>
      <c r="P489" s="4">
        <v>1152000</v>
      </c>
      <c r="Q489" s="5">
        <v>48</v>
      </c>
      <c r="R489" s="1" t="s">
        <v>38</v>
      </c>
      <c r="T489" s="1" t="s">
        <v>39</v>
      </c>
      <c r="U489" s="4">
        <v>1372723.22</v>
      </c>
      <c r="V489" s="5">
        <v>384</v>
      </c>
      <c r="W489" s="5">
        <v>0</v>
      </c>
      <c r="Y489" s="1" t="s">
        <v>72</v>
      </c>
      <c r="Z489" s="3">
        <v>46034</v>
      </c>
      <c r="AA489" s="1" t="s">
        <v>41</v>
      </c>
      <c r="AB489" s="1" t="s">
        <v>42</v>
      </c>
      <c r="AC489" t="b">
        <f t="shared" si="28"/>
        <v>0</v>
      </c>
      <c r="AD489" t="b">
        <f t="shared" si="29"/>
        <v>0</v>
      </c>
      <c r="AE489" t="b">
        <f t="shared" si="30"/>
        <v>0</v>
      </c>
      <c r="AF489" t="b">
        <f t="shared" si="31"/>
        <v>0</v>
      </c>
    </row>
    <row r="490" spans="1:32">
      <c r="A490" t="s">
        <v>1824</v>
      </c>
      <c r="B490" s="1" t="s">
        <v>1825</v>
      </c>
      <c r="C490" s="2">
        <v>46150.809525463003</v>
      </c>
      <c r="D490" s="1" t="s">
        <v>30</v>
      </c>
      <c r="E490" s="1" t="s">
        <v>1814</v>
      </c>
      <c r="F490" s="1" t="s">
        <v>631</v>
      </c>
      <c r="G490" s="3">
        <v>46150</v>
      </c>
      <c r="H490" s="1" t="s">
        <v>1815</v>
      </c>
      <c r="I490" s="1" t="s">
        <v>63</v>
      </c>
      <c r="J490" s="1" t="s">
        <v>64</v>
      </c>
      <c r="K490" s="1" t="s">
        <v>35</v>
      </c>
      <c r="L490" t="s">
        <v>631</v>
      </c>
      <c r="M490" s="1" t="s">
        <v>45</v>
      </c>
      <c r="N490" s="3">
        <v>46150</v>
      </c>
      <c r="O490" s="1" t="s">
        <v>30</v>
      </c>
      <c r="P490" s="4">
        <v>1200000</v>
      </c>
      <c r="Q490" s="5">
        <v>55</v>
      </c>
      <c r="R490" s="1" t="s">
        <v>38</v>
      </c>
      <c r="T490" s="1" t="s">
        <v>39</v>
      </c>
      <c r="U490" s="4">
        <v>1551720.35</v>
      </c>
      <c r="V490" s="5">
        <v>100</v>
      </c>
      <c r="W490" s="5">
        <v>0</v>
      </c>
      <c r="Y490" s="1" t="s">
        <v>58</v>
      </c>
      <c r="Z490" s="3">
        <v>46150</v>
      </c>
      <c r="AA490" s="1" t="s">
        <v>41</v>
      </c>
      <c r="AB490" s="1" t="s">
        <v>208</v>
      </c>
      <c r="AC490" t="b">
        <f t="shared" si="28"/>
        <v>0</v>
      </c>
      <c r="AD490" t="b">
        <f t="shared" si="29"/>
        <v>0</v>
      </c>
      <c r="AE490" t="b">
        <f t="shared" si="30"/>
        <v>0</v>
      </c>
      <c r="AF490" t="b">
        <f t="shared" si="31"/>
        <v>0</v>
      </c>
    </row>
    <row r="491" spans="1:32">
      <c r="A491" t="s">
        <v>1826</v>
      </c>
      <c r="B491" s="1" t="s">
        <v>1827</v>
      </c>
      <c r="C491" s="2">
        <v>46119.715266203697</v>
      </c>
      <c r="D491" s="1" t="s">
        <v>30</v>
      </c>
      <c r="E491" s="1" t="s">
        <v>1531</v>
      </c>
      <c r="F491" s="1" t="s">
        <v>1081</v>
      </c>
      <c r="G491" s="3">
        <v>46120</v>
      </c>
      <c r="H491" s="1" t="s">
        <v>1532</v>
      </c>
      <c r="I491" s="1" t="s">
        <v>63</v>
      </c>
      <c r="J491" s="1" t="s">
        <v>181</v>
      </c>
      <c r="K491" s="1" t="s">
        <v>35</v>
      </c>
      <c r="L491" t="s">
        <v>1081</v>
      </c>
      <c r="N491" s="3">
        <v>46119</v>
      </c>
      <c r="O491" s="1" t="s">
        <v>30</v>
      </c>
      <c r="P491" s="4">
        <v>1225000</v>
      </c>
      <c r="Q491" s="5">
        <v>70</v>
      </c>
      <c r="R491" s="1" t="s">
        <v>38</v>
      </c>
      <c r="T491" s="1" t="s">
        <v>39</v>
      </c>
      <c r="U491" s="4">
        <v>1540928.07</v>
      </c>
      <c r="V491" s="5">
        <v>156</v>
      </c>
      <c r="W491" s="5">
        <v>0</v>
      </c>
      <c r="Y491" s="1" t="s">
        <v>58</v>
      </c>
      <c r="Z491" s="3">
        <v>46120</v>
      </c>
      <c r="AA491" s="1" t="s">
        <v>41</v>
      </c>
      <c r="AB491" s="1" t="s">
        <v>208</v>
      </c>
      <c r="AC491" t="b">
        <f t="shared" si="28"/>
        <v>0</v>
      </c>
      <c r="AD491" t="b">
        <f t="shared" si="29"/>
        <v>0</v>
      </c>
      <c r="AE491" t="b">
        <f t="shared" si="30"/>
        <v>0</v>
      </c>
      <c r="AF491" t="b">
        <f t="shared" si="31"/>
        <v>0</v>
      </c>
    </row>
    <row r="492" spans="1:32">
      <c r="A492" t="s">
        <v>1828</v>
      </c>
      <c r="B492" s="1" t="s">
        <v>1829</v>
      </c>
      <c r="C492" s="2">
        <v>46083.714618055601</v>
      </c>
      <c r="D492" s="1" t="s">
        <v>30</v>
      </c>
      <c r="E492" s="1" t="s">
        <v>1830</v>
      </c>
      <c r="F492" s="1" t="s">
        <v>284</v>
      </c>
      <c r="G492" s="3">
        <v>46080</v>
      </c>
      <c r="H492" s="1" t="s">
        <v>1831</v>
      </c>
      <c r="I492" s="1" t="s">
        <v>63</v>
      </c>
      <c r="J492" s="1" t="s">
        <v>64</v>
      </c>
      <c r="K492" s="1" t="s">
        <v>35</v>
      </c>
      <c r="L492" t="s">
        <v>284</v>
      </c>
      <c r="N492" s="3">
        <v>46083</v>
      </c>
      <c r="O492" s="1" t="s">
        <v>30</v>
      </c>
      <c r="P492" s="4">
        <v>1360800</v>
      </c>
      <c r="Q492" s="5">
        <v>5</v>
      </c>
      <c r="R492" s="1" t="s">
        <v>38</v>
      </c>
      <c r="T492" s="1" t="s">
        <v>39</v>
      </c>
      <c r="U492" s="4">
        <v>1670790.43</v>
      </c>
      <c r="V492" s="5">
        <v>140</v>
      </c>
      <c r="W492" s="5">
        <v>0</v>
      </c>
      <c r="Y492" s="1" t="s">
        <v>286</v>
      </c>
      <c r="Z492" s="3">
        <v>46080</v>
      </c>
      <c r="AA492" s="1" t="s">
        <v>41</v>
      </c>
      <c r="AB492" s="1" t="s">
        <v>42</v>
      </c>
      <c r="AC492" t="b">
        <f t="shared" si="28"/>
        <v>0</v>
      </c>
      <c r="AD492" t="b">
        <f t="shared" si="29"/>
        <v>0</v>
      </c>
      <c r="AE492" t="b">
        <f t="shared" si="30"/>
        <v>0</v>
      </c>
      <c r="AF492" t="b">
        <f t="shared" si="31"/>
        <v>0</v>
      </c>
    </row>
    <row r="493" spans="1:32">
      <c r="A493" t="s">
        <v>1832</v>
      </c>
      <c r="B493" s="1" t="s">
        <v>1833</v>
      </c>
      <c r="C493" s="2">
        <v>46157.872430555602</v>
      </c>
      <c r="D493" s="1" t="s">
        <v>30</v>
      </c>
      <c r="E493" s="1" t="s">
        <v>1810</v>
      </c>
      <c r="F493" s="1" t="s">
        <v>631</v>
      </c>
      <c r="G493" s="3">
        <v>46157</v>
      </c>
      <c r="H493" s="1" t="s">
        <v>1811</v>
      </c>
      <c r="I493" s="1" t="s">
        <v>63</v>
      </c>
      <c r="J493" s="1" t="s">
        <v>64</v>
      </c>
      <c r="K493" s="1" t="s">
        <v>35</v>
      </c>
      <c r="L493" t="s">
        <v>631</v>
      </c>
      <c r="M493" s="1" t="s">
        <v>45</v>
      </c>
      <c r="N493" s="3">
        <v>46157</v>
      </c>
      <c r="O493" s="1" t="s">
        <v>30</v>
      </c>
      <c r="P493" s="4">
        <v>1500000</v>
      </c>
      <c r="Q493" s="5">
        <v>50</v>
      </c>
      <c r="R493" s="1" t="s">
        <v>38</v>
      </c>
      <c r="T493" s="1" t="s">
        <v>39</v>
      </c>
      <c r="U493" s="4">
        <v>1954650.64</v>
      </c>
      <c r="V493" s="5">
        <v>150</v>
      </c>
      <c r="W493" s="5">
        <v>0</v>
      </c>
      <c r="Y493" s="1" t="s">
        <v>58</v>
      </c>
      <c r="Z493" s="3">
        <v>46157</v>
      </c>
      <c r="AA493" s="1" t="s">
        <v>41</v>
      </c>
      <c r="AB493" s="1" t="s">
        <v>42</v>
      </c>
      <c r="AC493" t="b">
        <f t="shared" si="28"/>
        <v>0</v>
      </c>
      <c r="AD493" t="b">
        <f t="shared" si="29"/>
        <v>0</v>
      </c>
      <c r="AE493" t="b">
        <f t="shared" si="30"/>
        <v>0</v>
      </c>
      <c r="AF493" t="b">
        <f t="shared" si="31"/>
        <v>0</v>
      </c>
    </row>
    <row r="494" spans="1:32">
      <c r="A494" t="s">
        <v>1834</v>
      </c>
      <c r="B494" s="1" t="s">
        <v>1835</v>
      </c>
      <c r="C494" s="2">
        <v>46080.726331018501</v>
      </c>
      <c r="D494" s="1" t="s">
        <v>30</v>
      </c>
      <c r="E494" s="1" t="s">
        <v>1836</v>
      </c>
      <c r="F494" s="1" t="s">
        <v>224</v>
      </c>
      <c r="G494" s="3">
        <v>46081</v>
      </c>
      <c r="H494" s="1" t="s">
        <v>1837</v>
      </c>
      <c r="I494" s="1" t="s">
        <v>852</v>
      </c>
      <c r="J494" s="1" t="s">
        <v>244</v>
      </c>
      <c r="K494" s="1" t="s">
        <v>35</v>
      </c>
      <c r="L494" t="s">
        <v>224</v>
      </c>
      <c r="M494" s="1" t="s">
        <v>45</v>
      </c>
      <c r="N494" s="3">
        <v>46080</v>
      </c>
      <c r="O494" s="1" t="s">
        <v>30</v>
      </c>
      <c r="P494" s="4">
        <v>1600000</v>
      </c>
      <c r="Q494" s="5">
        <v>1</v>
      </c>
      <c r="R494" s="1" t="s">
        <v>38</v>
      </c>
      <c r="S494" s="5">
        <v>0</v>
      </c>
      <c r="T494" s="1" t="s">
        <v>39</v>
      </c>
      <c r="U494" s="4">
        <v>1967199.93</v>
      </c>
      <c r="V494" s="5">
        <v>0</v>
      </c>
      <c r="W494" s="5">
        <v>200</v>
      </c>
      <c r="Y494" s="1" t="s">
        <v>227</v>
      </c>
      <c r="Z494" s="3">
        <v>46081</v>
      </c>
      <c r="AA494" s="1" t="s">
        <v>41</v>
      </c>
      <c r="AB494" s="1" t="s">
        <v>42</v>
      </c>
      <c r="AC494" t="b">
        <f t="shared" si="28"/>
        <v>0</v>
      </c>
      <c r="AD494" t="b">
        <f t="shared" si="29"/>
        <v>0</v>
      </c>
      <c r="AE494" t="b">
        <f t="shared" si="30"/>
        <v>0</v>
      </c>
      <c r="AF494" t="b">
        <f t="shared" si="31"/>
        <v>0</v>
      </c>
    </row>
    <row r="495" spans="1:32">
      <c r="A495" t="s">
        <v>1838</v>
      </c>
      <c r="B495" s="1" t="s">
        <v>1839</v>
      </c>
      <c r="C495" s="2">
        <v>46120.812013888899</v>
      </c>
      <c r="D495" s="1" t="s">
        <v>30</v>
      </c>
      <c r="E495" s="1" t="s">
        <v>299</v>
      </c>
      <c r="F495" s="1" t="s">
        <v>300</v>
      </c>
      <c r="G495" s="3">
        <v>46142</v>
      </c>
      <c r="H495" s="1" t="s">
        <v>301</v>
      </c>
      <c r="I495" s="1" t="s">
        <v>34</v>
      </c>
      <c r="J495" s="1" t="s">
        <v>232</v>
      </c>
      <c r="K495" s="1" t="s">
        <v>35</v>
      </c>
      <c r="L495" t="s">
        <v>300</v>
      </c>
      <c r="M495" s="1" t="s">
        <v>37</v>
      </c>
      <c r="N495" s="3">
        <v>46120</v>
      </c>
      <c r="O495" s="1" t="s">
        <v>30</v>
      </c>
      <c r="P495" s="4">
        <v>1627522</v>
      </c>
      <c r="Q495" s="5">
        <v>711</v>
      </c>
      <c r="R495" s="1" t="s">
        <v>38</v>
      </c>
      <c r="S495" s="5">
        <v>99058</v>
      </c>
      <c r="T495" s="1" t="s">
        <v>39</v>
      </c>
      <c r="U495" s="4">
        <v>2040262.33</v>
      </c>
      <c r="Y495" s="1" t="s">
        <v>58</v>
      </c>
      <c r="Z495" s="3">
        <v>46142</v>
      </c>
      <c r="AA495" s="1" t="s">
        <v>41</v>
      </c>
      <c r="AB495" s="1" t="s">
        <v>208</v>
      </c>
      <c r="AC495" t="b">
        <f t="shared" si="28"/>
        <v>1</v>
      </c>
      <c r="AD495" t="b">
        <f t="shared" si="29"/>
        <v>0</v>
      </c>
      <c r="AE495" t="b">
        <f t="shared" si="30"/>
        <v>0</v>
      </c>
      <c r="AF495" t="b">
        <f t="shared" si="31"/>
        <v>0</v>
      </c>
    </row>
    <row r="496" spans="1:32">
      <c r="A496" t="s">
        <v>1840</v>
      </c>
      <c r="B496" s="1" t="s">
        <v>1841</v>
      </c>
      <c r="C496" s="2">
        <v>46120.812071759297</v>
      </c>
      <c r="D496" s="1" t="s">
        <v>30</v>
      </c>
      <c r="E496" s="1" t="s">
        <v>299</v>
      </c>
      <c r="F496" s="1" t="s">
        <v>300</v>
      </c>
      <c r="G496" s="3">
        <v>46142</v>
      </c>
      <c r="H496" s="1" t="s">
        <v>301</v>
      </c>
      <c r="I496" s="1" t="s">
        <v>34</v>
      </c>
      <c r="J496" s="1" t="s">
        <v>244</v>
      </c>
      <c r="K496" s="1" t="s">
        <v>35</v>
      </c>
      <c r="L496" t="s">
        <v>300</v>
      </c>
      <c r="M496" s="1" t="s">
        <v>37</v>
      </c>
      <c r="N496" s="3">
        <v>46120</v>
      </c>
      <c r="O496" s="1" t="s">
        <v>30</v>
      </c>
      <c r="P496" s="4">
        <v>1803307</v>
      </c>
      <c r="Q496" s="5">
        <v>31</v>
      </c>
      <c r="R496" s="1" t="s">
        <v>38</v>
      </c>
      <c r="S496" s="5">
        <v>114360</v>
      </c>
      <c r="T496" s="1" t="s">
        <v>39</v>
      </c>
      <c r="U496" s="4">
        <v>2260626.4900000002</v>
      </c>
      <c r="Y496" s="1" t="s">
        <v>58</v>
      </c>
      <c r="Z496" s="3">
        <v>46142</v>
      </c>
      <c r="AA496" s="1" t="s">
        <v>41</v>
      </c>
      <c r="AB496" s="1" t="s">
        <v>208</v>
      </c>
      <c r="AC496" t="b">
        <f t="shared" si="28"/>
        <v>1</v>
      </c>
      <c r="AD496" t="b">
        <f t="shared" si="29"/>
        <v>0</v>
      </c>
      <c r="AE496" t="b">
        <f t="shared" si="30"/>
        <v>0</v>
      </c>
      <c r="AF496" t="b">
        <f t="shared" si="31"/>
        <v>0</v>
      </c>
    </row>
    <row r="497" spans="1:32">
      <c r="A497" t="s">
        <v>1842</v>
      </c>
      <c r="B497" s="1" t="s">
        <v>1843</v>
      </c>
      <c r="C497" s="2">
        <v>46062.036377314798</v>
      </c>
      <c r="D497" s="1" t="s">
        <v>30</v>
      </c>
      <c r="E497" s="1" t="s">
        <v>1844</v>
      </c>
      <c r="F497" s="1" t="s">
        <v>300</v>
      </c>
      <c r="G497" s="3">
        <v>46059</v>
      </c>
      <c r="H497" s="1" t="s">
        <v>1845</v>
      </c>
      <c r="I497" s="1" t="s">
        <v>97</v>
      </c>
      <c r="J497" s="1" t="s">
        <v>35</v>
      </c>
      <c r="K497" s="1" t="s">
        <v>36</v>
      </c>
      <c r="L497" t="s">
        <v>300</v>
      </c>
      <c r="M497" s="1" t="s">
        <v>37</v>
      </c>
      <c r="N497" s="3">
        <v>46061</v>
      </c>
      <c r="O497" s="1" t="s">
        <v>30</v>
      </c>
      <c r="P497" s="4">
        <v>1999175</v>
      </c>
      <c r="Q497" s="5">
        <v>28</v>
      </c>
      <c r="R497" s="1" t="s">
        <v>38</v>
      </c>
      <c r="T497" s="1" t="s">
        <v>39</v>
      </c>
      <c r="U497" s="4">
        <v>2412004.7599999998</v>
      </c>
      <c r="Y497" s="1" t="s">
        <v>58</v>
      </c>
      <c r="Z497" s="3">
        <v>46059</v>
      </c>
      <c r="AA497" s="1" t="s">
        <v>41</v>
      </c>
      <c r="AB497" s="1" t="s">
        <v>42</v>
      </c>
      <c r="AC497" t="b">
        <f t="shared" si="28"/>
        <v>0</v>
      </c>
      <c r="AD497" t="b">
        <f t="shared" si="29"/>
        <v>0</v>
      </c>
      <c r="AE497" t="b">
        <f t="shared" si="30"/>
        <v>0</v>
      </c>
      <c r="AF497" t="b">
        <f t="shared" si="31"/>
        <v>0</v>
      </c>
    </row>
    <row r="498" spans="1:32">
      <c r="A498" t="s">
        <v>1846</v>
      </c>
      <c r="B498" s="1" t="s">
        <v>1847</v>
      </c>
      <c r="C498" s="2">
        <v>46150.727592592601</v>
      </c>
      <c r="D498" s="1" t="s">
        <v>30</v>
      </c>
      <c r="E498" s="1" t="s">
        <v>685</v>
      </c>
      <c r="F498" s="1" t="s">
        <v>348</v>
      </c>
      <c r="G498" s="3">
        <v>46150</v>
      </c>
      <c r="H498" s="1" t="s">
        <v>1848</v>
      </c>
      <c r="I498" s="1" t="s">
        <v>63</v>
      </c>
      <c r="J498" s="1" t="s">
        <v>244</v>
      </c>
      <c r="K498" s="1" t="s">
        <v>35</v>
      </c>
      <c r="L498" t="s">
        <v>348</v>
      </c>
      <c r="M498" s="1" t="s">
        <v>45</v>
      </c>
      <c r="N498" s="3">
        <v>46150</v>
      </c>
      <c r="O498" s="1" t="s">
        <v>30</v>
      </c>
      <c r="P498" s="4">
        <v>2000000</v>
      </c>
      <c r="Q498" s="5">
        <v>45</v>
      </c>
      <c r="R498" s="1" t="s">
        <v>38</v>
      </c>
      <c r="T498" s="1" t="s">
        <v>39</v>
      </c>
      <c r="U498" s="4">
        <v>2586200.58</v>
      </c>
      <c r="V498" s="5">
        <v>90</v>
      </c>
      <c r="W498" s="5">
        <v>0</v>
      </c>
      <c r="Y498" s="1" t="s">
        <v>227</v>
      </c>
      <c r="Z498" s="3">
        <v>46150</v>
      </c>
      <c r="AA498" s="1" t="s">
        <v>41</v>
      </c>
      <c r="AB498" s="1" t="s">
        <v>42</v>
      </c>
      <c r="AC498" t="b">
        <f t="shared" si="28"/>
        <v>1</v>
      </c>
      <c r="AD498" t="b">
        <f t="shared" si="29"/>
        <v>0</v>
      </c>
      <c r="AE498" t="b">
        <f t="shared" si="30"/>
        <v>0</v>
      </c>
      <c r="AF498" t="b">
        <f t="shared" si="31"/>
        <v>0</v>
      </c>
    </row>
    <row r="499" spans="1:32">
      <c r="A499" t="s">
        <v>1849</v>
      </c>
      <c r="B499" s="1" t="s">
        <v>1850</v>
      </c>
      <c r="C499" s="2">
        <v>46112.797256944403</v>
      </c>
      <c r="D499" s="1" t="s">
        <v>30</v>
      </c>
      <c r="E499" s="1" t="s">
        <v>1851</v>
      </c>
      <c r="F499" s="1" t="s">
        <v>1059</v>
      </c>
      <c r="G499" s="3">
        <v>46112</v>
      </c>
      <c r="H499" s="1" t="s">
        <v>1852</v>
      </c>
      <c r="I499" s="1" t="s">
        <v>34</v>
      </c>
      <c r="J499" s="1" t="s">
        <v>232</v>
      </c>
      <c r="K499" s="1" t="s">
        <v>35</v>
      </c>
      <c r="L499" t="s">
        <v>1059</v>
      </c>
      <c r="N499" s="3">
        <v>46112</v>
      </c>
      <c r="O499" s="1" t="s">
        <v>30</v>
      </c>
      <c r="P499" s="4">
        <v>2090000</v>
      </c>
      <c r="Q499" s="5">
        <v>10</v>
      </c>
      <c r="R499" s="1" t="s">
        <v>38</v>
      </c>
      <c r="S499" s="5">
        <v>12000</v>
      </c>
      <c r="T499" s="1" t="s">
        <v>39</v>
      </c>
      <c r="U499" s="4">
        <v>2601840.1800000002</v>
      </c>
      <c r="Y499" s="1" t="s">
        <v>58</v>
      </c>
      <c r="Z499" s="3">
        <v>46112</v>
      </c>
      <c r="AA499" s="1" t="s">
        <v>41</v>
      </c>
      <c r="AB499" s="1" t="s">
        <v>42</v>
      </c>
      <c r="AC499" t="b">
        <f t="shared" si="28"/>
        <v>0</v>
      </c>
      <c r="AD499" t="b">
        <f t="shared" si="29"/>
        <v>0</v>
      </c>
      <c r="AE499" t="b">
        <f t="shared" si="30"/>
        <v>0</v>
      </c>
      <c r="AF499" t="b">
        <f t="shared" si="31"/>
        <v>0</v>
      </c>
    </row>
    <row r="500" spans="1:32">
      <c r="A500" t="s">
        <v>1853</v>
      </c>
      <c r="B500" s="1" t="s">
        <v>1854</v>
      </c>
      <c r="C500" s="2">
        <v>46181.469039351898</v>
      </c>
      <c r="D500" s="1" t="s">
        <v>30</v>
      </c>
      <c r="E500" s="1" t="s">
        <v>1855</v>
      </c>
      <c r="F500" s="1" t="s">
        <v>1856</v>
      </c>
      <c r="G500" s="3">
        <v>46186</v>
      </c>
      <c r="H500" s="1" t="s">
        <v>1857</v>
      </c>
      <c r="I500" s="1" t="s">
        <v>63</v>
      </c>
      <c r="J500" s="1" t="s">
        <v>35</v>
      </c>
      <c r="K500" s="1" t="s">
        <v>1858</v>
      </c>
      <c r="L500" t="s">
        <v>1856</v>
      </c>
      <c r="N500" s="3">
        <v>46181</v>
      </c>
      <c r="O500" s="1" t="s">
        <v>30</v>
      </c>
      <c r="P500" s="4">
        <v>2500000</v>
      </c>
      <c r="Q500" s="5">
        <v>2</v>
      </c>
      <c r="R500" s="1" t="s">
        <v>38</v>
      </c>
      <c r="T500" s="1" t="s">
        <v>39</v>
      </c>
      <c r="U500" s="4">
        <v>3168249.63</v>
      </c>
      <c r="V500" s="5">
        <v>0</v>
      </c>
      <c r="W500" s="5">
        <v>1452</v>
      </c>
      <c r="Y500" s="1" t="s">
        <v>115</v>
      </c>
      <c r="Z500" s="3">
        <v>46186</v>
      </c>
      <c r="AA500" s="1" t="s">
        <v>41</v>
      </c>
      <c r="AB500" s="1" t="s">
        <v>42</v>
      </c>
      <c r="AC500" t="b">
        <f t="shared" si="28"/>
        <v>0</v>
      </c>
      <c r="AD500" t="b">
        <f t="shared" si="29"/>
        <v>0</v>
      </c>
      <c r="AE500" t="b">
        <f t="shared" si="30"/>
        <v>0</v>
      </c>
      <c r="AF500" t="b">
        <f t="shared" si="31"/>
        <v>0</v>
      </c>
    </row>
    <row r="501" spans="1:32">
      <c r="A501" t="s">
        <v>1859</v>
      </c>
      <c r="B501" s="1" t="s">
        <v>1860</v>
      </c>
      <c r="C501" s="2">
        <v>46129.629247685203</v>
      </c>
      <c r="D501" s="1" t="s">
        <v>30</v>
      </c>
      <c r="E501" s="1" t="s">
        <v>1861</v>
      </c>
      <c r="F501" s="1" t="s">
        <v>1317</v>
      </c>
      <c r="G501" s="3">
        <v>46141</v>
      </c>
      <c r="H501" s="1" t="s">
        <v>1862</v>
      </c>
      <c r="I501" s="1" t="s">
        <v>63</v>
      </c>
      <c r="J501" s="1" t="s">
        <v>64</v>
      </c>
      <c r="K501" s="1" t="s">
        <v>35</v>
      </c>
      <c r="L501" t="s">
        <v>1317</v>
      </c>
      <c r="M501" s="1" t="s">
        <v>45</v>
      </c>
      <c r="N501" s="3">
        <v>46129</v>
      </c>
      <c r="O501" s="1" t="s">
        <v>30</v>
      </c>
      <c r="P501" s="4">
        <v>2500000</v>
      </c>
      <c r="Q501" s="5">
        <v>200</v>
      </c>
      <c r="R501" s="1" t="s">
        <v>38</v>
      </c>
      <c r="T501" s="1" t="s">
        <v>39</v>
      </c>
      <c r="U501" s="4">
        <v>3175249.7</v>
      </c>
      <c r="V501" s="5">
        <v>200</v>
      </c>
      <c r="W501" s="5">
        <v>300</v>
      </c>
      <c r="Y501" s="1" t="s">
        <v>961</v>
      </c>
      <c r="Z501" s="3">
        <v>46141</v>
      </c>
      <c r="AA501" s="1" t="s">
        <v>41</v>
      </c>
      <c r="AB501" s="1" t="s">
        <v>42</v>
      </c>
      <c r="AC501" t="b">
        <f t="shared" si="28"/>
        <v>1</v>
      </c>
      <c r="AD501" t="b">
        <f t="shared" si="29"/>
        <v>0</v>
      </c>
      <c r="AE501" t="b">
        <f t="shared" si="30"/>
        <v>0</v>
      </c>
      <c r="AF501" t="b">
        <f t="shared" si="31"/>
        <v>0</v>
      </c>
    </row>
    <row r="502" spans="1:32">
      <c r="A502" t="s">
        <v>1863</v>
      </c>
      <c r="B502" s="1" t="s">
        <v>1864</v>
      </c>
      <c r="C502" s="2">
        <v>46150.625324074099</v>
      </c>
      <c r="D502" s="1" t="s">
        <v>30</v>
      </c>
      <c r="E502" s="1" t="s">
        <v>1865</v>
      </c>
      <c r="F502" s="1" t="s">
        <v>533</v>
      </c>
      <c r="G502" s="3">
        <v>46150</v>
      </c>
      <c r="H502" s="1" t="s">
        <v>1866</v>
      </c>
      <c r="I502" s="1" t="s">
        <v>63</v>
      </c>
      <c r="J502" s="1" t="s">
        <v>220</v>
      </c>
      <c r="K502" s="1" t="s">
        <v>35</v>
      </c>
      <c r="L502" t="s">
        <v>652</v>
      </c>
      <c r="M502" s="1" t="s">
        <v>45</v>
      </c>
      <c r="N502" s="3">
        <v>46150</v>
      </c>
      <c r="O502" s="1" t="s">
        <v>30</v>
      </c>
      <c r="P502" s="4">
        <v>2520600</v>
      </c>
      <c r="Q502" s="5">
        <v>300</v>
      </c>
      <c r="R502" s="1" t="s">
        <v>38</v>
      </c>
      <c r="S502" s="5">
        <v>0</v>
      </c>
      <c r="T502" s="1" t="s">
        <v>39</v>
      </c>
      <c r="U502" s="4">
        <v>3270730.87</v>
      </c>
      <c r="V502" s="5">
        <v>300</v>
      </c>
      <c r="W502" s="5">
        <v>0</v>
      </c>
      <c r="Z502" s="3">
        <v>46150</v>
      </c>
      <c r="AA502" s="1" t="s">
        <v>41</v>
      </c>
      <c r="AB502" s="1" t="s">
        <v>208</v>
      </c>
      <c r="AC502" t="b">
        <f t="shared" si="28"/>
        <v>0</v>
      </c>
      <c r="AD502" t="b">
        <f t="shared" si="29"/>
        <v>0</v>
      </c>
      <c r="AE502" t="b">
        <f t="shared" si="30"/>
        <v>0</v>
      </c>
      <c r="AF502" t="b">
        <f t="shared" si="31"/>
        <v>0</v>
      </c>
    </row>
    <row r="503" spans="1:32">
      <c r="A503" t="s">
        <v>1867</v>
      </c>
      <c r="B503" s="1" t="s">
        <v>1868</v>
      </c>
      <c r="C503" s="2">
        <v>46183.590486111098</v>
      </c>
      <c r="D503" s="1" t="s">
        <v>30</v>
      </c>
      <c r="E503" s="1" t="s">
        <v>1869</v>
      </c>
      <c r="F503" s="1" t="s">
        <v>328</v>
      </c>
      <c r="H503" s="1" t="s">
        <v>1870</v>
      </c>
      <c r="I503" s="1" t="s">
        <v>34</v>
      </c>
      <c r="J503" s="1" t="s">
        <v>244</v>
      </c>
      <c r="K503" s="1" t="s">
        <v>35</v>
      </c>
      <c r="L503" t="s">
        <v>328</v>
      </c>
      <c r="M503" s="1" t="s">
        <v>45</v>
      </c>
      <c r="O503" s="1" t="s">
        <v>30</v>
      </c>
      <c r="P503" s="4">
        <v>2731680</v>
      </c>
      <c r="Q503" s="5">
        <v>360</v>
      </c>
      <c r="S503" s="5">
        <v>97560</v>
      </c>
      <c r="T503" s="1" t="s">
        <v>39</v>
      </c>
      <c r="U503" s="4">
        <v>3417877.6</v>
      </c>
      <c r="Y503" s="1" t="s">
        <v>72</v>
      </c>
      <c r="Z503" s="3">
        <v>46193</v>
      </c>
      <c r="AA503" s="1" t="s">
        <v>506</v>
      </c>
      <c r="AB503" s="1" t="s">
        <v>507</v>
      </c>
      <c r="AC503" t="b">
        <f t="shared" si="28"/>
        <v>0</v>
      </c>
      <c r="AD503" t="b">
        <f t="shared" si="29"/>
        <v>0</v>
      </c>
      <c r="AE503" t="b">
        <f t="shared" si="30"/>
        <v>0</v>
      </c>
      <c r="AF503" t="b">
        <f t="shared" si="31"/>
        <v>0</v>
      </c>
    </row>
    <row r="504" spans="1:32">
      <c r="A504" t="s">
        <v>1871</v>
      </c>
      <c r="B504" s="1" t="s">
        <v>1872</v>
      </c>
      <c r="C504" s="2">
        <v>46048.623356481497</v>
      </c>
      <c r="D504" s="1" t="s">
        <v>30</v>
      </c>
      <c r="E504" s="1" t="s">
        <v>1873</v>
      </c>
      <c r="F504" s="1" t="s">
        <v>1791</v>
      </c>
      <c r="G504" s="3">
        <v>46048</v>
      </c>
      <c r="H504" s="1" t="s">
        <v>1874</v>
      </c>
      <c r="I504" s="1" t="s">
        <v>63</v>
      </c>
      <c r="J504" s="1" t="s">
        <v>35</v>
      </c>
      <c r="K504" s="1" t="s">
        <v>1875</v>
      </c>
      <c r="L504" t="s">
        <v>1791</v>
      </c>
      <c r="M504" s="1" t="s">
        <v>37</v>
      </c>
      <c r="N504" s="3">
        <v>46048</v>
      </c>
      <c r="O504" s="1" t="s">
        <v>30</v>
      </c>
      <c r="P504" s="4">
        <v>3000000</v>
      </c>
      <c r="Q504" s="5">
        <v>20</v>
      </c>
      <c r="R504" s="1" t="s">
        <v>38</v>
      </c>
      <c r="T504" s="1" t="s">
        <v>39</v>
      </c>
      <c r="U504" s="4">
        <v>3602100.49</v>
      </c>
      <c r="V504" s="5">
        <v>300</v>
      </c>
      <c r="W504" s="5">
        <v>0</v>
      </c>
      <c r="Y504" s="1" t="s">
        <v>115</v>
      </c>
      <c r="Z504" s="3">
        <v>46048</v>
      </c>
      <c r="AA504" s="1" t="s">
        <v>41</v>
      </c>
      <c r="AB504" s="1" t="s">
        <v>42</v>
      </c>
      <c r="AC504" t="b">
        <f t="shared" si="28"/>
        <v>1</v>
      </c>
      <c r="AD504" t="b">
        <f t="shared" si="29"/>
        <v>0</v>
      </c>
      <c r="AE504" t="b">
        <f t="shared" si="30"/>
        <v>0</v>
      </c>
      <c r="AF504" t="b">
        <f t="shared" si="31"/>
        <v>0</v>
      </c>
    </row>
    <row r="505" spans="1:32">
      <c r="A505" t="s">
        <v>1876</v>
      </c>
      <c r="B505" s="1" t="s">
        <v>1877</v>
      </c>
      <c r="C505" s="2">
        <v>46172.887511574103</v>
      </c>
      <c r="D505" s="1" t="s">
        <v>30</v>
      </c>
      <c r="E505" s="1" t="s">
        <v>1878</v>
      </c>
      <c r="F505" s="1" t="s">
        <v>32</v>
      </c>
      <c r="G505" s="3">
        <v>46206</v>
      </c>
      <c r="H505" s="1" t="s">
        <v>1879</v>
      </c>
      <c r="I505" s="1" t="s">
        <v>63</v>
      </c>
      <c r="J505" s="1" t="s">
        <v>244</v>
      </c>
      <c r="K505" s="1" t="s">
        <v>35</v>
      </c>
      <c r="L505" t="s">
        <v>32</v>
      </c>
      <c r="M505" s="1" t="s">
        <v>45</v>
      </c>
      <c r="N505" s="3">
        <v>46172</v>
      </c>
      <c r="O505" s="1" t="s">
        <v>30</v>
      </c>
      <c r="P505" s="4">
        <v>3500000</v>
      </c>
      <c r="Q505" s="5">
        <v>30</v>
      </c>
      <c r="R505" s="1" t="s">
        <v>38</v>
      </c>
      <c r="T505" s="1" t="s">
        <v>39</v>
      </c>
      <c r="U505" s="4">
        <v>4451999.25</v>
      </c>
      <c r="V505" s="5">
        <v>120</v>
      </c>
      <c r="W505" s="5">
        <v>0</v>
      </c>
      <c r="Y505" s="1" t="s">
        <v>40</v>
      </c>
      <c r="Z505" s="3">
        <v>46206</v>
      </c>
      <c r="AA505" s="1" t="s">
        <v>41</v>
      </c>
      <c r="AB505" s="1" t="s">
        <v>42</v>
      </c>
      <c r="AC505" t="b">
        <f t="shared" si="28"/>
        <v>1</v>
      </c>
      <c r="AD505" t="b">
        <f t="shared" si="29"/>
        <v>0</v>
      </c>
      <c r="AE505" t="b">
        <f t="shared" si="30"/>
        <v>0</v>
      </c>
      <c r="AF505" t="b">
        <f t="shared" si="31"/>
        <v>0</v>
      </c>
    </row>
    <row r="506" spans="1:32">
      <c r="A506" t="s">
        <v>1880</v>
      </c>
      <c r="B506" s="1" t="s">
        <v>1881</v>
      </c>
      <c r="C506" s="2">
        <v>46183.496180555601</v>
      </c>
      <c r="D506" s="1" t="s">
        <v>30</v>
      </c>
      <c r="E506" s="1" t="s">
        <v>1882</v>
      </c>
      <c r="F506" s="1" t="s">
        <v>1059</v>
      </c>
      <c r="G506" s="3">
        <v>46183</v>
      </c>
      <c r="H506" s="1" t="s">
        <v>1883</v>
      </c>
      <c r="I506" s="1" t="s">
        <v>63</v>
      </c>
      <c r="J506" s="1" t="s">
        <v>35</v>
      </c>
      <c r="K506" s="1" t="s">
        <v>232</v>
      </c>
      <c r="L506" t="s">
        <v>1059</v>
      </c>
      <c r="N506" s="3">
        <v>46183</v>
      </c>
      <c r="O506" s="1" t="s">
        <v>30</v>
      </c>
      <c r="P506" s="4">
        <v>4000000</v>
      </c>
      <c r="Q506" s="5">
        <v>145</v>
      </c>
      <c r="R506" s="1" t="s">
        <v>65</v>
      </c>
      <c r="T506" s="1" t="s">
        <v>39</v>
      </c>
      <c r="U506" s="4">
        <v>5004799.3899999997</v>
      </c>
      <c r="V506" s="5">
        <v>90</v>
      </c>
      <c r="W506" s="5">
        <v>783</v>
      </c>
      <c r="Y506" s="1" t="s">
        <v>58</v>
      </c>
      <c r="Z506" s="3">
        <v>46183</v>
      </c>
      <c r="AA506" s="1" t="s">
        <v>41</v>
      </c>
      <c r="AB506" s="1" t="s">
        <v>42</v>
      </c>
      <c r="AC506" t="b">
        <f t="shared" si="28"/>
        <v>1</v>
      </c>
      <c r="AD506" t="b">
        <f t="shared" si="29"/>
        <v>0</v>
      </c>
      <c r="AE506" t="b">
        <f t="shared" si="30"/>
        <v>0</v>
      </c>
      <c r="AF506" t="b">
        <f t="shared" si="31"/>
        <v>0</v>
      </c>
    </row>
    <row r="507" spans="1:32">
      <c r="A507" t="s">
        <v>1884</v>
      </c>
      <c r="B507" s="1" t="s">
        <v>1885</v>
      </c>
      <c r="C507" s="2">
        <v>46174.877731481502</v>
      </c>
      <c r="D507" s="1" t="s">
        <v>30</v>
      </c>
      <c r="E507" s="1" t="s">
        <v>1886</v>
      </c>
      <c r="F507" s="1" t="s">
        <v>274</v>
      </c>
      <c r="G507" s="3">
        <v>46204</v>
      </c>
      <c r="H507" s="1" t="s">
        <v>1887</v>
      </c>
      <c r="I507" s="1" t="s">
        <v>63</v>
      </c>
      <c r="J507" s="1" t="s">
        <v>64</v>
      </c>
      <c r="K507" s="1" t="s">
        <v>35</v>
      </c>
      <c r="L507" t="s">
        <v>274</v>
      </c>
      <c r="M507" s="1" t="s">
        <v>45</v>
      </c>
      <c r="N507" s="3">
        <v>46174</v>
      </c>
      <c r="O507" s="1" t="s">
        <v>30</v>
      </c>
      <c r="P507" s="4">
        <v>19037234</v>
      </c>
      <c r="Q507" s="5">
        <v>90</v>
      </c>
      <c r="R507" s="1" t="s">
        <v>38</v>
      </c>
      <c r="T507" s="1" t="s">
        <v>39</v>
      </c>
      <c r="U507" s="4">
        <v>24257249.949999999</v>
      </c>
      <c r="V507" s="5">
        <v>1440</v>
      </c>
      <c r="W507" s="5">
        <v>0</v>
      </c>
      <c r="Y507" s="1" t="s">
        <v>72</v>
      </c>
      <c r="Z507" s="3">
        <v>46204</v>
      </c>
      <c r="AA507" s="1" t="s">
        <v>41</v>
      </c>
      <c r="AB507" s="1" t="s">
        <v>42</v>
      </c>
      <c r="AC507" t="b">
        <f t="shared" si="28"/>
        <v>0</v>
      </c>
      <c r="AD507" t="b">
        <f t="shared" si="29"/>
        <v>1</v>
      </c>
      <c r="AE507" t="b">
        <f t="shared" si="30"/>
        <v>0</v>
      </c>
      <c r="AF507" t="b">
        <f t="shared" si="31"/>
        <v>0</v>
      </c>
    </row>
  </sheetData>
  <dataValidations count="1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Account record must already exist in Microsoft Dynamics 365 or in this source file." sqref="E2:E1048576" xr:uid="{00000000-0002-0000-0000-000002000000}"/>
    <dataValidation allowBlank="1" showInputMessage="1" showErrorMessage="1" error=" " promptTitle="Lookup" prompt="This Created By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Expected close date must be in the correct date format." promptTitle="Date" prompt=" " sqref="G2:G1048576" xr:uid="{00000000-0002-0000-0000-000004000000}">
      <formula1>1</formula1>
    </dataValidation>
    <dataValidation showInputMessage="1" showErrorMessage="1" error=" " promptTitle="Lookup (required)" prompt="This Opportunity record must already exist in Microsoft Dynamics 365 or in this source file." sqref="H2:H1048576" xr:uid="{00000000-0002-0000-0000-000005000000}"/>
    <dataValidation showInputMessage="1" showErrorMessage="1" error=" " promptTitle="Lookup (required)" prompt="This Market From record must already exist in Microsoft Dynamics 365 or in this source file." sqref="J2:J1048576" xr:uid="{00000000-0002-0000-0000-000007000000}"/>
    <dataValidation showInputMessage="1" showErrorMessage="1" error=" " promptTitle="Lookup (required)" prompt="This Market To record must already exist in Microsoft Dynamics 365 or in this source file." sqref="K2:K1048576" xr:uid="{00000000-0002-0000-0000-000008000000}"/>
    <dataValidation showInputMessage="1" showErrorMessage="1" error=" " promptTitle="Lookup (required)" prompt="This Owner record must already exist in Microsoft Dynamics 365 or in this source file." sqref="L2:L1048576" xr:uid="{00000000-0002-0000-0000-000009000000}"/>
    <dataValidation type="date" operator="greaterThanOrEqual" allowBlank="1" showInputMessage="1" showErrorMessage="1" errorTitle="Invalid Date" error="Actual Close Date (Opportunity) (Opportunity) must be in the correct date format." promptTitle="Date" prompt=" " sqref="N2:N1048576" xr:uid="{00000000-0002-0000-0000-00000B000000}">
      <formula1>1</formula1>
    </dataValidation>
    <dataValidation type="decimal" showInputMessage="1" showErrorMessage="1" errorTitle="Value beyond range" error="Potential Revenue must be a number from -922337203685477 through 922337203685477." promptTitle="Decimal number (required)" prompt="Minimum Value: -922337203685477._x000d__x000a_Maximum Value: 922337203685477._x000d__x000a_  " sqref="P2:P1048576" xr:uid="{00000000-0002-0000-0000-00000D000000}">
      <formula1>-922337203685477</formula1>
      <formula2>922337203685477</formula2>
    </dataValidation>
    <dataValidation type="decimal" showInputMessage="1" showErrorMessage="1" errorTitle="Value beyond range" error="Potential Shipments must be a whole number from -2147483648 through 2147483647." promptTitle="Whole number (required)" prompt="Minimum Value: -2147483648._x000d__x000a_Maximum Value: 2147483647._x000d__x000a_  " sqref="Q2:Q1048576" xr:uid="{00000000-0002-0000-0000-00000E000000}">
      <formula1>-2147483648</formula1>
      <formula2>2147483647</formula2>
    </dataValidation>
    <dataValidation type="decimal" allowBlank="1" showInputMessage="1" showErrorMessage="1" errorTitle="Value beyond range" error="Potential Air Volume (Kgs) must be a whole number from -2147483648 through 2147483647." promptTitle="Whole number" prompt="Minimum Value: -2147483648._x000d__x000a_Maximum Value: 2147483647._x000d__x000a_  " sqref="S2:S1048576" xr:uid="{00000000-0002-0000-0000-000010000000}">
      <formula1>-2147483648</formula1>
      <formula2>2147483647</formula2>
    </dataValidation>
    <dataValidation allowBlank="1" showInputMessage="1" showErrorMessage="1" error=" " promptTitle="Lookup" prompt="This Currency record must already exist in Microsoft Dynamics 365 or in this source file." sqref="T2:T1048576" xr:uid="{00000000-0002-0000-0000-000011000000}"/>
    <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_x000d__x000a_Maximum Value: 922337203685477._x000d__x000a_  " sqref="U2:U1048576" xr:uid="{00000000-0002-0000-0000-000012000000}">
      <formula1>-922337203685477</formula1>
      <formula2>922337203685477</formula2>
    </dataValidation>
    <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_x000d__x000a_Maximum Value: 2147483647._x000d__x000a_  " sqref="V2:V1048576" xr:uid="{00000000-0002-0000-0000-000013000000}">
      <formula1>-2147483648</formula1>
      <formula2>2147483647</formula2>
    </dataValidation>
    <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_x000d__x000a_Maximum Value: 2147483647._x000d__x000a_  " sqref="W2:W1048576" xr:uid="{00000000-0002-0000-0000-000014000000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 xr:uid="{00000000-0002-0000-0000-000016000000}">
      <formula1>100</formula1>
    </dataValidation>
    <dataValidation type="date" operator="greaterThanOrEqual" showInputMessage="1" showErrorMessage="1" errorTitle="Invalid Date" error="Close Date (Exp) (Opportunity) (Opportunity) must be in the correct date format." promptTitle="Date (required)" prompt=" " sqref="Z2:Z1048576" xr:uid="{00000000-0002-0000-0000-000017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 xr:uid="{00000000-0002-0000-0000-000019000000}">
      <formula1>200</formula1>
    </dataValidation>
  </dataValidations>
  <pageMargins left="0.7" right="0.7" top="0.75" bottom="0.75" header="0.3" footer="0.3"/>
  <headerFooter>
    <oddFooter>&amp;C_x000D_&amp;1#&amp;"Aptos"&amp;10&amp;K000000 DSV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1000000}">
          <x14:formula1>
            <xm:f>hiddenSheet!$A$2:$C$2</xm:f>
          </x14:formula1>
          <xm:sqref>D2:D1048576</xm:sqref>
        </x14:dataValidation>
        <x14:dataValidation type="list" showInputMessage="1" showErrorMessage="1" errorTitle="List Value" error="Division (freight) must be selected from the drop-down list." promptTitle="Option set (required)" prompt="Select a value from the drop-down list." xr:uid="{00000000-0002-0000-0000-000006000000}">
          <x14:formula1>
            <xm:f>hiddenSheet!$A$3:$R$3</xm:f>
          </x14:formula1>
          <xm:sqref>I2:I1048576</xm:sqref>
        </x14:dataValidation>
        <x14:dataValidation type="list" showInputMessage="1" showErrorMessage="1" errorTitle="List Value" error="Payment type must be selected from the drop-down list." promptTitle="Option set (required)" prompt="Select a value from the drop-down list." xr:uid="{00000000-0002-0000-0000-00000A000000}">
          <x14:formula1>
            <xm:f>hiddenSheet!$A$4:$B$4</xm:f>
          </x14:formula1>
          <xm:sqref>M2:M1048576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C000000}">
          <x14:formula1>
            <xm:f>hiddenSheet!$A$5:$T$5</xm:f>
          </x14:formula1>
          <xm:sqref>O2:O1048576</xm:sqref>
        </x14:dataValidation>
        <x14:dataValidation type="list" allowBlank="1" showInputMessage="1" showErrorMessage="1" errorTitle="List Value" error="Claim Type must be selected from the drop-down list." promptTitle="Option set" prompt="Select a value from the drop-down list." xr:uid="{00000000-0002-0000-0000-00000F000000}">
          <x14:formula1>
            <xm:f>hiddenSheet!$A$6:$E$6</xm:f>
          </x14:formula1>
          <xm:sqref>R2:R1048576</xm:sqref>
        </x14:dataValidation>
        <x14:dataValidation type="list" allowBlank="1" showInputMessage="1" showErrorMessage="1" errorTitle="List Value" error="Traffic status must be selected from the drop-down list." promptTitle="Option set" prompt="Select a value from the drop-down list." xr:uid="{00000000-0002-0000-0000-000015000000}">
          <x14:formula1>
            <xm:f>hiddenSheet!$A$7:$C$7</xm:f>
          </x14:formula1>
          <xm:sqref>X2:X1048576</xm:sqref>
        </x14:dataValidation>
        <x14:dataValidation type="list" allowBlank="1" showInputMessage="1" showErrorMessage="1" errorTitle="List Value" error="Funnel Stage Name (Opportunity) (Opportunity) must be selected from the drop-down list." promptTitle="Option set" prompt="Select a value from the drop-down list." xr:uid="{00000000-0002-0000-0000-000018000000}">
          <x14:formula1>
            <xm:f>hiddenSheet!$A$8:$E$8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T8"/>
  <sheetViews>
    <sheetView workbookViewId="0"/>
  </sheetViews>
  <sheetFormatPr defaultRowHeight="15"/>
  <sheetData>
    <row r="1" spans="1:20">
      <c r="A1" t="s">
        <v>1888</v>
      </c>
    </row>
    <row r="2" spans="1:20">
      <c r="A2" t="s">
        <v>1889</v>
      </c>
      <c r="B2" t="s">
        <v>30</v>
      </c>
      <c r="C2" t="s">
        <v>1890</v>
      </c>
    </row>
    <row r="3" spans="1:20">
      <c r="A3" t="s">
        <v>34</v>
      </c>
      <c r="B3" t="s">
        <v>382</v>
      </c>
      <c r="C3" t="s">
        <v>1891</v>
      </c>
      <c r="D3" t="s">
        <v>1892</v>
      </c>
      <c r="E3" t="s">
        <v>1201</v>
      </c>
      <c r="F3" t="s">
        <v>1448</v>
      </c>
      <c r="G3" t="s">
        <v>852</v>
      </c>
      <c r="H3" t="s">
        <v>1893</v>
      </c>
      <c r="I3" t="s">
        <v>993</v>
      </c>
      <c r="J3" t="s">
        <v>97</v>
      </c>
      <c r="K3" t="s">
        <v>63</v>
      </c>
      <c r="L3" t="s">
        <v>603</v>
      </c>
      <c r="M3" t="s">
        <v>1894</v>
      </c>
      <c r="N3" t="s">
        <v>1895</v>
      </c>
      <c r="O3" t="s">
        <v>1896</v>
      </c>
      <c r="P3" t="s">
        <v>1897</v>
      </c>
      <c r="Q3" t="s">
        <v>1898</v>
      </c>
      <c r="R3" t="s">
        <v>1899</v>
      </c>
    </row>
    <row r="4" spans="1:20">
      <c r="A4" t="s">
        <v>37</v>
      </c>
      <c r="B4" t="s">
        <v>45</v>
      </c>
    </row>
    <row r="5" spans="1:20">
      <c r="A5" t="s">
        <v>1889</v>
      </c>
      <c r="B5" t="s">
        <v>1900</v>
      </c>
      <c r="C5" t="s">
        <v>1901</v>
      </c>
      <c r="D5" t="s">
        <v>1902</v>
      </c>
      <c r="E5" t="s">
        <v>1903</v>
      </c>
      <c r="F5" t="s">
        <v>1904</v>
      </c>
      <c r="G5" t="s">
        <v>1905</v>
      </c>
      <c r="H5" t="s">
        <v>1906</v>
      </c>
      <c r="I5" t="s">
        <v>1907</v>
      </c>
      <c r="J5" t="s">
        <v>1890</v>
      </c>
      <c r="K5" t="s">
        <v>1908</v>
      </c>
      <c r="L5" t="s">
        <v>1909</v>
      </c>
      <c r="M5" t="s">
        <v>1910</v>
      </c>
      <c r="N5" t="s">
        <v>30</v>
      </c>
      <c r="O5" t="s">
        <v>1911</v>
      </c>
      <c r="P5" t="s">
        <v>1912</v>
      </c>
      <c r="Q5" t="s">
        <v>1913</v>
      </c>
      <c r="R5" t="s">
        <v>1914</v>
      </c>
      <c r="S5" t="s">
        <v>1915</v>
      </c>
      <c r="T5" t="s">
        <v>1916</v>
      </c>
    </row>
    <row r="6" spans="1:20">
      <c r="A6" t="s">
        <v>1917</v>
      </c>
      <c r="B6" t="s">
        <v>1918</v>
      </c>
      <c r="C6" t="s">
        <v>38</v>
      </c>
      <c r="D6" t="s">
        <v>1919</v>
      </c>
      <c r="E6" t="s">
        <v>65</v>
      </c>
    </row>
    <row r="7" spans="1:20">
      <c r="A7" t="s">
        <v>1889</v>
      </c>
      <c r="B7" t="s">
        <v>1920</v>
      </c>
      <c r="C7" t="s">
        <v>1921</v>
      </c>
    </row>
    <row r="8" spans="1:20">
      <c r="A8" t="s">
        <v>506</v>
      </c>
      <c r="B8" t="s">
        <v>79</v>
      </c>
      <c r="C8" t="s">
        <v>237</v>
      </c>
      <c r="D8" t="s">
        <v>1922</v>
      </c>
      <c r="E8" t="s">
        <v>41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Brasil - BG - WON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Silva - DSV</cp:lastModifiedBy>
  <dcterms:modified xsi:type="dcterms:W3CDTF">2026-06-10T16:01:22Z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2026-06-10T16:01:22Z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ed15cab4-98ba-4b65-adde-aac92dfed140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